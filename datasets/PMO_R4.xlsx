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Gestao_Portifolio_Projeto\datasets\"/>
    </mc:Choice>
  </mc:AlternateContent>
  <xr:revisionPtr revIDLastSave="0" documentId="13_ncr:1_{7AEA327C-FE80-4CC0-8DFB-427037632B25}" xr6:coauthVersionLast="47" xr6:coauthVersionMax="47" xr10:uidLastSave="{00000000-0000-0000-0000-000000000000}"/>
  <bookViews>
    <workbookView xWindow="28680" yWindow="-90" windowWidth="29040" windowHeight="15720" firstSheet="1" activeTab="1" xr2:uid="{53D0BC27-B0FD-41F1-9D96-C3A641585F2D}"/>
  </bookViews>
  <sheets>
    <sheet name="Status_Mensal" sheetId="7" r:id="rId1"/>
    <sheet name="Resumo_Projeto" sheetId="1" r:id="rId2"/>
    <sheet name="Tarefas_Projeto" sheetId="2" r:id="rId3"/>
    <sheet name="Marco" sheetId="8" r:id="rId4"/>
    <sheet name="Graficos_Tarefas" sheetId="5" r:id="rId5"/>
    <sheet name="A contratar" sheetId="3" r:id="rId6"/>
    <sheet name="Qtd" sheetId="6" r:id="rId7"/>
    <sheet name="Acompanhamento_Processos" sheetId="9" r:id="rId8"/>
  </sheets>
  <definedNames>
    <definedName name="_xlchart.v1.0" hidden="1">'A contratar'!$A$11</definedName>
    <definedName name="_xlchart.v1.1" hidden="1">'A contratar'!$B$11:$J$11</definedName>
    <definedName name="_xlchart.v1.2" hidden="1">'A contratar'!$B$2:$J$2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6" i="1" l="1"/>
  <c r="F12" i="9"/>
  <c r="F13" i="9"/>
  <c r="F14" i="9"/>
  <c r="F2" i="9"/>
  <c r="F3" i="9"/>
  <c r="F4" i="9"/>
  <c r="F5" i="9"/>
  <c r="F6" i="9"/>
  <c r="F7" i="9"/>
  <c r="F8" i="9"/>
  <c r="F9" i="9"/>
  <c r="F10" i="9"/>
  <c r="F11" i="9"/>
  <c r="X85" i="1"/>
  <c r="X84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2" i="1"/>
  <c r="X3" i="1"/>
  <c r="X4" i="1"/>
  <c r="X5" i="1"/>
  <c r="X6" i="1"/>
  <c r="X7" i="1"/>
  <c r="X8" i="1"/>
  <c r="X9" i="1"/>
  <c r="X10" i="1"/>
  <c r="X11" i="1"/>
  <c r="X12" i="1"/>
  <c r="X19" i="1"/>
  <c r="X13" i="1"/>
  <c r="X20" i="1"/>
  <c r="X14" i="1"/>
  <c r="X21" i="1"/>
  <c r="X22" i="1"/>
  <c r="X23" i="1"/>
  <c r="X15" i="1"/>
  <c r="X16" i="1"/>
  <c r="X24" i="1"/>
  <c r="X17" i="1"/>
  <c r="X25" i="1"/>
  <c r="X18" i="1"/>
  <c r="X26" i="1"/>
  <c r="X27" i="1"/>
  <c r="X28" i="1"/>
  <c r="X29" i="1"/>
  <c r="X30" i="1"/>
  <c r="X31" i="1"/>
  <c r="X32" i="1"/>
  <c r="X33" i="1"/>
  <c r="X34" i="1"/>
  <c r="X35" i="1"/>
  <c r="X40" i="1"/>
  <c r="X45" i="1"/>
  <c r="X46" i="1"/>
  <c r="X48" i="1"/>
  <c r="X49" i="1"/>
  <c r="X50" i="1"/>
  <c r="X52" i="1"/>
  <c r="X51" i="1"/>
  <c r="X53" i="1"/>
  <c r="X54" i="1"/>
  <c r="X55" i="1"/>
  <c r="X56" i="1"/>
  <c r="X57" i="1"/>
  <c r="X58" i="1"/>
  <c r="X59" i="1"/>
  <c r="X60" i="1"/>
  <c r="X61" i="1"/>
  <c r="W37" i="1"/>
  <c r="W36" i="1"/>
  <c r="W42" i="1"/>
  <c r="X42" i="1"/>
  <c r="W38" i="1"/>
  <c r="X38" i="1"/>
  <c r="W39" i="1"/>
  <c r="X39" i="1"/>
  <c r="W47" i="1"/>
  <c r="X47" i="1"/>
  <c r="W44" i="1"/>
  <c r="X44" i="1"/>
  <c r="W43" i="1"/>
  <c r="X43" i="1"/>
  <c r="W41" i="1"/>
  <c r="V41" i="1"/>
  <c r="U41" i="1"/>
  <c r="X41" i="1"/>
  <c r="V37" i="1"/>
  <c r="V36" i="1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D8" i="6"/>
  <c r="D5" i="6"/>
  <c r="D3" i="6"/>
  <c r="E11" i="3"/>
  <c r="F11" i="3"/>
  <c r="G11" i="3"/>
  <c r="H11" i="3"/>
  <c r="I11" i="3"/>
  <c r="C11" i="3"/>
  <c r="B11" i="3"/>
  <c r="D3" i="3"/>
  <c r="J3" i="3"/>
  <c r="D4" i="3"/>
  <c r="D5" i="3"/>
  <c r="J5" i="3"/>
  <c r="D6" i="3"/>
  <c r="J6" i="3"/>
  <c r="D7" i="3"/>
  <c r="J7" i="3"/>
  <c r="D8" i="3"/>
  <c r="J8" i="3"/>
  <c r="D9" i="3"/>
  <c r="J9" i="3"/>
  <c r="D10" i="3"/>
  <c r="J10" i="3"/>
  <c r="X37" i="1" l="1"/>
  <c r="X36" i="1"/>
  <c r="J4" i="3"/>
  <c r="J11" i="3" s="1"/>
  <c r="D1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tc={EAEEB3D0-38AE-4C3C-82A2-41FD0FB95914}</author>
    <author>tc={0536717E-0FBD-4ED4-A827-402E54DEB2EC}</author>
    <author>tc={33A77375-A4FF-40DC-8013-F1E037C15D09}</author>
    <author>tc={AE01E938-0657-43DE-88A7-9655BF14D420}</author>
    <author>tc={13CC054E-D2A0-4270-AFE5-3C1AA2B91BE4}</author>
    <author>tc={3D9AB361-C694-4E83-B5FA-B246A4187CD4}</author>
    <author>tc={65479629-A09F-4048-A49B-988271FDBDA4}</author>
    <author>tc={4B0F1B2B-5196-4DEA-95C9-874DE45EF1C3}</author>
    <author>tc={1FA11846-CF1F-4FE3-B648-99D05C883107}</author>
    <author>tc={6BDD1B62-9DCF-4A14-B343-0D22C51924E1}</author>
    <author>tc={177FA552-44DD-46D8-B198-4D3EAD7229AB}</author>
    <author>tc={CF7989B1-44EE-4A3D-A147-A55E4A61F73E}</author>
    <author>tc={78E322D9-5FDE-4558-AEC0-668AB85E3382}</author>
    <author>tc={EDB8C4AF-9B0D-49B8-B79B-A5CA2A8FB3B6}</author>
    <author>tc={8DFD7DFE-0F52-4914-8F62-21CC9314CA9E}</author>
    <author>tc={62FCBBD5-9C2D-4BA0-B240-4B0E954A83C5}</author>
    <author>tc={65263829-7800-4F1B-BD20-530C6F983998}</author>
    <author>tc={2E98C3B2-8538-4D78-91E9-98966198F57E}</author>
    <author>tc={91610F12-1353-4976-A85F-23A70015A643}</author>
    <author>tc={35CAE18B-AA1F-4BBE-B250-939EEC2E1005}</author>
    <author>tc={662A99C7-95EA-45C2-A957-05CCBA0A3972}</author>
    <author>tc={706A3A26-DBB6-4F0B-A011-39CEAEF80277}</author>
    <author>tc={59D85E2C-5094-4EA9-A173-33C14D0D539D}</author>
    <author>tc={99ECDBED-4539-47FE-920A-3252498A2F90}</author>
    <author>tc={7AC68035-5876-4CA0-9593-10D504BDB7F5}</author>
    <author>tc={4E95B19F-2961-4D20-AAA5-8CC6C147023A}</author>
    <author>tc={A716E640-F1F7-4596-B34B-417EC6DC26FC}</author>
    <author>tc={625F17BC-AF35-41BF-8082-53369C808670}</author>
    <author>tc={348CE1DA-F528-42DC-BC74-E92D48EED77B}</author>
    <author>tc={0B4277E3-96F5-4078-A26F-F1551BF14BCD}</author>
    <author>tc={C5FE626B-2D2F-459B-9240-395F21809B26}</author>
    <author>tc={29598F6D-0C94-464E-A015-EA8E6A1BF635}</author>
    <author>tc={1053CAF2-9D2E-4129-929A-6E5FB2DA86B3}</author>
    <author>tc={EA088E06-0AB7-4B67-9BEC-F0323EFE3B62}</author>
    <author>tc={D3946903-2DFF-4FE3-B420-4864066D6D91}</author>
    <author>tc={C5653E35-F60C-4848-9854-7471226C13B4}</author>
    <author>tc={66797A67-5B62-4EAD-A1B6-72B0FD60FFF1}</author>
    <author>tc={38488027-A8EF-449C-85AB-3594D1C91A4B}</author>
  </authors>
  <commentList>
    <comment ref="J2" authorId="0" shapeId="0" xr:uid="{EAEEB3D0-38AE-4C3C-82A2-41FD0FB9591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Cronograma apresentado, colocaram 5 dias para avaliação do processo.
LR elevatória, obra + operação ficaram de enviar proposta do novo encaminhamento da linha de recalque.
Responder:
    Como está o contrato da haskonig? Onde vai ficar o contrato? Como foi feito em Los Angeles? A prolagos deverá fazer um contrato com a empresa para o projeto + consultoria. 
Com está a relação com a SANEARES.
Responder:
    Contrato Royal Haskoning (BOQ)  - Estão revisando o BOQ
Levantamento da LR (sugerido operacional + obras) para alteração.
Responder:
    Verificar qual tipo de desinfecção será utilizado (operação)
Responder:
    13/02 - recebimento do BOQ + odr 
04/02 - pdr
</t>
      </text>
    </comment>
    <comment ref="J3" authorId="1" shapeId="0" xr:uid="{0536717E-0FBD-4ED4-A827-402E54DEB2E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Validar automação para retirar os equipamentos, a sondotécnica questiona que há mudança de escopo. 
Solicitaram 45 dias.
Responder:
    Definir quem vai ficar responsável pelo perfil hidráulico. 
Estava com Miguel.
Responder:
    Definição da questão da automação, Luis da Automação se existe mérito no pleito por conta do plano diretor</t>
      </text>
    </comment>
    <comment ref="J4" authorId="2" shapeId="0" xr:uid="{33A77375-A4FF-40DC-8013-F1E037C15D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Pendente análise elétrica (Caiero)
Responder:
    Entrega das pendencias 02/02</t>
      </text>
    </comment>
    <comment ref="J5" authorId="3" shapeId="0" xr:uid="{AE01E938-0657-43DE-88A7-9655BF14D4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Medição: Aguardar retorno da Mariana para tratativas da medição da E-Agua.
Verificar como será feito a retenção contratual. 
Estamos devendo informação da elevatória Ronaldo Gazolla (Operação e Engenharia ficaram de levantar as informações).</t>
      </text>
    </comment>
    <comment ref="J6" authorId="4" shapeId="0" xr:uid="{13CC054E-D2A0-4270-AFE5-3C1AA2B91BE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Visitas marcadas para os dias 27-30 de janeiro
Responder:
    Sidney (gerente Baixada 2), foi provocado para melhoria da ETA Taquara (verificar a priorização)
Responder:
    Rio Bonito não terá BAG.
Responder:
    Marcar reunião projeto x processo x saneares
</t>
      </text>
    </comment>
    <comment ref="J7" authorId="5" shapeId="0" xr:uid="{3D9AB361-C694-4E83-B5FA-B246A4187CD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Pendência revisão do projeto estrutural da ETA Miracema - 23/01</t>
      </text>
    </comment>
    <comment ref="J8" authorId="6" shapeId="0" xr:uid="{65479629-A09F-4048-A49B-988271FDBDA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 com meio ambiente sobre questao de licenciamento do recebimento do lodo ETA Marambaia (Francisco Marcelo - Coordenador Opex)
</t>
      </text>
    </comment>
    <comment ref="J19" authorId="7" shapeId="0" xr:uid="{4B0F1B2B-5196-4DEA-95C9-874DE45EF1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Aguardando aprovação Operação e Obras</t>
      </text>
    </comment>
    <comment ref="J20" authorId="8" shapeId="0" xr:uid="{1FA11846-CF1F-4FE3-B648-99D05C88310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Dados de entrada entregue
Aguardando cronograma
Responder:
    Devolutiva do Sidney 05/02. 
Responder:
    Colocar todos do kick off
</t>
      </text>
    </comment>
    <comment ref="J21" authorId="9" shapeId="0" xr:uid="{6BDD1B62-9DCF-4A14-B343-0D22C51924E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Aprovado os projetos hidráulicos.
Responder:
    Proposição do Rodrigo de não aumentar o tralf. Foi devolvido que atender, verificar com a saneares se foi desenvolvido. </t>
      </text>
    </comment>
    <comment ref="J22" authorId="10" shapeId="0" xr:uid="{177FA552-44DD-46D8-B198-4D3EAD7229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Projetista esta avaliando a posição sugerida pela equipe de obra.
Responder:
    Verificar outras pendências.</t>
      </text>
    </comment>
    <comment ref="J23" authorId="11" shapeId="0" xr:uid="{CF7989B1-44EE-4A3D-A147-A55E4A61F7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Enviar a revisão da apresentação e blend para processo. 
Responder:
    Entregue o relatorio visita 
Responder:
    Qual a DBO que a estrutura existente atende?</t>
      </text>
    </comment>
    <comment ref="J24" authorId="12" shapeId="0" xr:uid="{78E322D9-5FDE-4558-AEC0-668AB85E338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ETE (processos):
Validar o planejamento se poderá utilizar módulos compactos junto com a diretoria da regional. Módulos de 10 L/s?
Deverá ter remoção de fósforo. Proj ref. Monte Alto (MBBR + Remo. Fosforo)
 </t>
      </text>
    </comment>
    <comment ref="J25" authorId="13" shapeId="0" xr:uid="{EDB8C4AF-9B0D-49B8-B79B-A5CA2A8FB3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 quais serão os saldos do contrato. 
E qual será o "save" que teremos nesse contrato.</t>
      </text>
    </comment>
    <comment ref="J26" authorId="14" shapeId="0" xr:uid="{8DFD7DFE-0F52-4914-8F62-21CC9314CA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Indefinição da estratégia da prolagos quanto as DPEs versus a necessidade de um macroestudo da região
Responder:
    Recebido as DPAs e DPEs da operação, porém não veio todas as áreas do valão da marinha. Vai ser questionado. 
Rio Salgado: Pendência retorno da Prolago sobre a definição do escopo.
Palmeiras: Pendente o Elétrico para enviar ao Tiago.</t>
      </text>
    </comment>
    <comment ref="V26" authorId="15" shapeId="0" xr:uid="{62FCBBD5-9C2D-4BA0-B240-4B0E954A83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Projeto Aditivado devido a necessidade de aumento do escopo</t>
      </text>
    </comment>
    <comment ref="J27" authorId="16" shapeId="0" xr:uid="{65263829-7800-4F1B-BD20-530C6F98399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27/01 inicia o serviço de cadastramento das redes e ETE;
Pendente das entregas do estudo de sondagem - previsão até 30/01
Responder:
    Obra da ETE começa em junho/2026. 
Responder:
    3 concepções: Faixa de Servidão; + elevatórias; Mixer entre a 1 e 2;
7 travessias na rodovia DER (Ponto de Atenção)
Prazo Concepção (Completo): 23/02;
Prazo Final Set/26
</t>
      </text>
    </comment>
    <comment ref="J28" authorId="17" shapeId="0" xr:uid="{2E98C3B2-8538-4D78-91E9-98966198F5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Indefinição da estratégia da prolagos quanto as DPEs versus a necessidade de um macroestudo da região.
Porém o trabalho está para finalizar em fev/26
Responder:
    Revisão do hidráulico: 05/02
Pressão fazenda lagoa</t>
      </text>
    </comment>
    <comment ref="J29" authorId="18" shapeId="0" xr:uid="{91610F12-1353-4976-A85F-23A70015A6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Tangua - Entregue o estudo de concepção. 
Aguardando retorno da Andressa do estudo Vazão
Saquarema - Marilda está para entregar
Magé - Março/26
Responder:
    Mantém o Status</t>
      </text>
    </comment>
    <comment ref="J30" authorId="19" shapeId="0" xr:uid="{35CAE18B-AA1F-4BBE-B250-939EEC2E100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Nilopolis - Foi entregue hidráulico e estrutural;
Mesquista - Entregue Hidráulico
Nova Iguaçu - Não foi entregue material
Responder:
    Mantém o Status
</t>
      </text>
    </comment>
    <comment ref="J31" authorId="20" shapeId="0" xr:uid="{662A99C7-95EA-45C2-A957-05CCBA0A39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TPS vai apresentar o estudo de concepção - fev/26.
Na concepção irá propor se será um sistema integrado ou separado por microrregiões.
Avaliar se os projetos serão feitos pelo núcleo.
Responder:
    Concepção: 06/02</t>
      </text>
    </comment>
    <comment ref="J32" authorId="21" shapeId="0" xr:uid="{706A3A26-DBB6-4F0B-A011-39CEAEF802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 Subiu no Ariba:
NGA
TPS
ESSE
PROSERENCO
TPF</t>
      </text>
    </comment>
    <comment ref="J33" authorId="22" shapeId="0" xr:uid="{59D85E2C-5094-4EA9-A173-33C14D0D53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 Em elaboração: 27/02</t>
      </text>
    </comment>
    <comment ref="J34" authorId="23" shapeId="0" xr:uid="{99ECDBED-4539-47FE-920A-3252498A2F9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 revisado.
Enviado ao Vagner e Wesley (Prolagos). Aguardando retorno
</t>
      </text>
    </comment>
    <comment ref="J36" authorId="24" shapeId="0" xr:uid="{7AC68035-5876-4CA0-9593-10D504BDB7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Retirando o Digestor e substituindo por tanque de lodo. 
TDH elevado +-20 dias. CISM está revisando
Responder:
    Previsão entrega material: 06/02</t>
      </text>
    </comment>
    <comment ref="J37" authorId="25" shapeId="0" xr:uid="{4E95B19F-2961-4D20-AAA5-8CC6C14702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Alteração do ME decantador primário. 
Solicitação para mudança de ME para eee, será tratado interno antes de levar para cism
Responder:
    Substituição Tq PAC para Ultravioleta</t>
      </text>
    </comment>
    <comment ref="J38" authorId="26" shapeId="0" xr:uid="{A716E640-F1F7-4596-B34B-417EC6DC26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Há necessidade de verificar o andamento dos projetos com De Carolis 
Responder:
    Marques São Vicente entregue
Laranjeiras: 06/02</t>
      </text>
    </comment>
    <comment ref="J39" authorId="27" shapeId="0" xr:uid="{625F17BC-AF35-41BF-8082-53369C80867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4 meses para SANEARES fazer o projeto
Aditivo em andamento
Tamanho do prédio administritvo
Responder:
    Sem atualização
Responder:
    Passar manual de operação CTS para Saneares. </t>
      </text>
    </comment>
    <comment ref="J40" authorId="28" shapeId="0" xr:uid="{348CE1DA-F528-42DC-BC74-E92D48EED77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com Daniel e o Rodrigo Cotta, verificar se eles estão confortáveis com a operação Dorr Oliver
Responder:
    Engecorps solicitou reunião para reiniciar o projeto
Responder:
    Confirmar o volume de LF que vai receber.
Responder:
    Validar a vazão de entregada da ETE com a operação. </t>
      </text>
    </comment>
    <comment ref="J41" authorId="29" shapeId="0" xr:uid="{0B4277E3-96F5-4078-A26F-F1551BF14BC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Estudo Transiente (29) - Sem aprovação, 6 estudos com o time de modelagem para analisar. Envio de em 3 em 3 estudos para analise.
Projeto de automação - divergência com a versão do plano diretor da aegea.
Travessias - Washigton Luiz: não finalizado pela sondotécnica (2026). CTS. São 3 travessias perpendiculares + 5 uso de faixa de domínio. 
BR040 - 2 travessias + 3 faixa de domínio
Responder:
    Automação - Avaliação Sondotécnica
Estudo Transiente (29) - Sem aprovação;
Travessia: Enviado para equipe de obras
</t>
      </text>
    </comment>
    <comment ref="J42" authorId="30" shapeId="0" xr:uid="{C5FE626B-2D2F-459B-9240-395F21809B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Discussão da vazão sanitaria x vazão pluvial
Responder:
    Reunião Saneares x Modelagem - 05/02</t>
      </text>
    </comment>
    <comment ref="J43" authorId="31" shapeId="0" xr:uid="{29598F6D-0C94-464E-A015-EA8E6A1BF6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Belford Roxo - finalizado topografia
São Gonçalo - iniciando a topografia
Duque de Caxias - divergência de vazão entre versões entre documento (70l/s) no sistema Farias. CTS primeira etapa.
Segunda etapa não entregou calumbé e saracuruna, precisa chegar 350 l/s.
Responder:
    DC - Entregue Coletores e RCE Columbé
BR - Iniciando os projetos
SG - Apollo, Jardim Catarina entrega
EEE Apollo e JC serao entregues
E Alcatara falta o projeto inteiro</t>
      </text>
    </comment>
    <comment ref="J44" authorId="32" shapeId="0" xr:uid="{1053CAF2-9D2E-4129-929A-6E5FB2DA86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Transiente - tentativa de aprovação para bacia 11 e replicar para as demais.
Automação - aguardando a revisão do projeto da cism
4x EEE &gt; 85 l/s. 2 delas são CTS
Responder:
    Avaliação Modelagem entrega: 04/02</t>
      </text>
    </comment>
    <comment ref="I45" authorId="33" shapeId="0" xr:uid="{EA088E06-0AB7-4B67-9BEC-F0323EFE3B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Coloquei 2"." porque o BI não contabilizou 2 projetos diferentes.</t>
      </text>
    </comment>
    <comment ref="J45" authorId="34" shapeId="0" xr:uid="{D3946903-2DFF-4FE3-B420-4864066D6D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Sistema barro vermelho está em revisão. Está com Mario para devolutiva. 
Responder:
    Revisões Entregues</t>
      </text>
    </comment>
    <comment ref="J47" authorId="35" shapeId="0" xr:uid="{C5653E35-F60C-4848-9854-7471226C13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Hidraulico - Digestor +2 elevatoria (recirculação + interna)
Projetos complementares iniciando pela CONEM (aprovação do hidráulico - 2 semanas)
Responder:
    Manual de operação em avaliação com OPEX
Responder:
    Prédio de Lodo - Processos - 03/02 (Hidráulico)
Manual de Operação - em avaliação</t>
      </text>
    </comment>
    <comment ref="J48" authorId="36" shapeId="0" xr:uid="{66797A67-5B62-4EAD-A1B6-72B0FD60FFF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Estudo de alternativa interno com referência a ETE Los Angeles e estudo LAC realizado pela CISM
Responder:
    É para considerar a área existente ou não?
Responder:
    Los Angeles, fósforo = 0,3
Orquidea = 4
Responder:
    Marcar uma reunião Projeto x Processo. 
Responder:
    Fundiário não está achando a documentação. 
Verificar com Samuel se vamos seguir com a área para projeto. 
Responder:
    Qual parametro foi utilizado na concepção e o que tem agora?
</t>
      </text>
    </comment>
    <comment ref="J84" authorId="37" shapeId="0" xr:uid="{38488027-A8EF-449C-85AB-3594D1C91A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TR: 13/03</t>
      </text>
    </comment>
  </commentList>
</comments>
</file>

<file path=xl/sharedStrings.xml><?xml version="1.0" encoding="utf-8"?>
<sst xmlns="http://schemas.openxmlformats.org/spreadsheetml/2006/main" count="2066" uniqueCount="714">
  <si>
    <t>Projeto</t>
  </si>
  <si>
    <t>Progresso</t>
  </si>
  <si>
    <t>Status</t>
  </si>
  <si>
    <t>Término Previsto</t>
  </si>
  <si>
    <t>Término Real</t>
  </si>
  <si>
    <t>Em Linha</t>
  </si>
  <si>
    <t>Atrasado</t>
  </si>
  <si>
    <t>Em Risco</t>
  </si>
  <si>
    <t>Aditivo (R$MM)</t>
  </si>
  <si>
    <t>Medido (R$MM)</t>
  </si>
  <si>
    <t>Responsável</t>
  </si>
  <si>
    <t>Início</t>
  </si>
  <si>
    <t>Prazo</t>
  </si>
  <si>
    <t>Comentários/Atualizações</t>
  </si>
  <si>
    <t>Tarefa</t>
  </si>
  <si>
    <t>Luan</t>
  </si>
  <si>
    <t>Gestor</t>
  </si>
  <si>
    <t>Descrição</t>
  </si>
  <si>
    <t>Rio Sul</t>
  </si>
  <si>
    <t>Rio Norte</t>
  </si>
  <si>
    <t>Leste</t>
  </si>
  <si>
    <t>Lagos</t>
  </si>
  <si>
    <t>Baixada 1</t>
  </si>
  <si>
    <t>Baixada 2</t>
  </si>
  <si>
    <t>Comunidades Gabinete</t>
  </si>
  <si>
    <t>CapEx 
2025 - 2026</t>
  </si>
  <si>
    <t>Contratado 
2025 - 2026</t>
  </si>
  <si>
    <t>Saldo Previsto</t>
  </si>
  <si>
    <t>Saldo Real</t>
  </si>
  <si>
    <t>SE Suíte</t>
  </si>
  <si>
    <t>Ariba</t>
  </si>
  <si>
    <t>Em Equalização</t>
  </si>
  <si>
    <t>Não Iniciado</t>
  </si>
  <si>
    <t>Gabinete</t>
  </si>
  <si>
    <t>Total</t>
  </si>
  <si>
    <t>Elab. de Contrato</t>
  </si>
  <si>
    <t>Compensação em andamento</t>
  </si>
  <si>
    <t>Concluído</t>
  </si>
  <si>
    <t>Salvador</t>
  </si>
  <si>
    <t>-</t>
  </si>
  <si>
    <t>Avaliar entrega da dos projetos de ETA Tanguá</t>
  </si>
  <si>
    <t>Em progresso</t>
  </si>
  <si>
    <t>Em Progresso</t>
  </si>
  <si>
    <t>Finalização do processo no SETRAS</t>
  </si>
  <si>
    <t>ESSE/SETRAS</t>
  </si>
  <si>
    <t>Finalização do estudo de vazão</t>
  </si>
  <si>
    <t>Demora na validação da documentação por parte do SETRAS</t>
  </si>
  <si>
    <t>Aguardando envio da cadência atualizada pelo time de planejamento</t>
  </si>
  <si>
    <t>Avaliar entrega da concepção de Mesquita</t>
  </si>
  <si>
    <t>Validação do Plano de Topografia</t>
  </si>
  <si>
    <t>Envio dos estudos de Magé</t>
  </si>
  <si>
    <t>Realização da reunião de kick off</t>
  </si>
  <si>
    <t>Envio do estudo demográfico</t>
  </si>
  <si>
    <t>Abertura do SERTRAS</t>
  </si>
  <si>
    <t>Ivan</t>
  </si>
  <si>
    <t>Envio do Plano Diretor</t>
  </si>
  <si>
    <t>Revisão dos projetos</t>
  </si>
  <si>
    <t>CSIM</t>
  </si>
  <si>
    <t>Arthur esta revisando todos os comentários para realizar a entrega dia 15/11/25.</t>
  </si>
  <si>
    <t>Subestação</t>
  </si>
  <si>
    <t>Agendar reunião com os envolvidos para validação.</t>
  </si>
  <si>
    <t>Revisar projeto estrutural e geotécnico</t>
  </si>
  <si>
    <t>Verificação das peças gráficas e agendamento de reunião com a CISM para entender algumas questões conceituais de estrutura.</t>
  </si>
  <si>
    <t>Escolha da alternativa ETL</t>
  </si>
  <si>
    <t>AdR e AEGEA</t>
  </si>
  <si>
    <t>Alternativa de projeto escolhida</t>
  </si>
  <si>
    <t>Entrega do projeto hidráulico</t>
  </si>
  <si>
    <t>Saneares</t>
  </si>
  <si>
    <t>Aguardando entrega.</t>
  </si>
  <si>
    <t>Contrato</t>
  </si>
  <si>
    <t>Escopo</t>
  </si>
  <si>
    <t>CT 043/2025</t>
  </si>
  <si>
    <t>CT 087/2025</t>
  </si>
  <si>
    <t>Projeto executivo de sistema de esgotamento para complementação dos cinturões da lagoa de Araruama.</t>
  </si>
  <si>
    <t>Projeto executivo de sistema de esgotamento para atendimento de condomínio no município de Búzios.</t>
  </si>
  <si>
    <t xml:space="preserve">CT 096/2025 </t>
  </si>
  <si>
    <t>CTS SA, TA e ME (NGA)</t>
  </si>
  <si>
    <t>CTS Novos pontos (HIDROCON)</t>
  </si>
  <si>
    <t>Fazenda Lagoa (TPS)</t>
  </si>
  <si>
    <t>CT 103/2025</t>
  </si>
  <si>
    <t xml:space="preserve">CT 046/2025 </t>
  </si>
  <si>
    <t>SES Miracema (ESSE)</t>
  </si>
  <si>
    <t>CT 115/2025</t>
  </si>
  <si>
    <t>SES Duas Barras (TPS)</t>
  </si>
  <si>
    <t xml:space="preserve">CT 108/2025 </t>
  </si>
  <si>
    <t xml:space="preserve">CT 122/2024 </t>
  </si>
  <si>
    <t>ETA Porto das Caixas (SANEARES)</t>
  </si>
  <si>
    <t>Projeto Executivo do Sistema de Tratamento de Lodo e Adequação Operacional das ETA Porto das Caixas e Maricá</t>
  </si>
  <si>
    <t xml:space="preserve">CT 115/2025 </t>
  </si>
  <si>
    <t>Projeto executivo de remanejamento de adutora de água em São Gonçalo</t>
  </si>
  <si>
    <t>Projeto executivo de sistema para reforma e ampliação de ETE São Gonçalo</t>
  </si>
  <si>
    <t xml:space="preserve">Projeto executivo de sistema de esgotamento sanitário de Tanguá e ETE Bandeirantes. Projeto executivo de sistema de abastecimento de água em Tanguá e reforma de ETA Tanguá. </t>
  </si>
  <si>
    <t>Estudo de concepção de sistema de coleta em tempo seco para os municípios de Saquarema, Tanguá e Magé</t>
  </si>
  <si>
    <t xml:space="preserve">Projeto executivo de sistema de esgotamento (transporte e tratamento) para atendimento do distrito Sede de Miracema. </t>
  </si>
  <si>
    <t xml:space="preserve">Projeto executivo de sistema de esgotamento (transporte e tratamento) para atendimento do distrito Sede e Monnerat de Duas Barras. </t>
  </si>
  <si>
    <t xml:space="preserve">CT 064/2023 </t>
  </si>
  <si>
    <t>Aline</t>
  </si>
  <si>
    <t>Projeto Executivo da Estação de Tratamento de Esgoto da Penha</t>
  </si>
  <si>
    <t xml:space="preserve">CT 098/2024 </t>
  </si>
  <si>
    <t>Elaboração do projeto executivo complementar ao sistema de esgotamento sanitário da Bacia da ETE PAVUNA, no Município do Rio de Janeiro.</t>
  </si>
  <si>
    <t>Elaboração de Projeto Executivo da Estação de Tratamento de Esgoto Arraial do Cabo-RJ.</t>
  </si>
  <si>
    <t>Projeto Elétrico Revisado</t>
  </si>
  <si>
    <t>SDT</t>
  </si>
  <si>
    <t>Projeto Hidráulico Revisado</t>
  </si>
  <si>
    <t>Projeto Automação Revisado</t>
  </si>
  <si>
    <t>Execução da Sondagem</t>
  </si>
  <si>
    <t>MCS</t>
  </si>
  <si>
    <t>Validação do Cadastro – Rede Existente</t>
  </si>
  <si>
    <t>E-agua</t>
  </si>
  <si>
    <t xml:space="preserve">Informação solicitada para análise de Pleito de Aditivo </t>
  </si>
  <si>
    <t>Aditivo para Adequação de Projeto EE Padrão AEGEA</t>
  </si>
  <si>
    <t xml:space="preserve">Ajustes no Estudo de Viabilidade </t>
  </si>
  <si>
    <t>Bruno/Fausto</t>
  </si>
  <si>
    <t>ETIG</t>
  </si>
  <si>
    <t>ETE FARIAS</t>
  </si>
  <si>
    <t>ETE PAVUNA</t>
  </si>
  <si>
    <t>ETE ORQUIDEA</t>
  </si>
  <si>
    <t>ETE SIQUEIRA</t>
  </si>
  <si>
    <t>ETE JARDIM ESPERANÇA</t>
  </si>
  <si>
    <t>SES FARIAS</t>
  </si>
  <si>
    <t>SES SARACURUNA</t>
  </si>
  <si>
    <t>SES SANTO CRISTO</t>
  </si>
  <si>
    <t>ASES</t>
  </si>
  <si>
    <t>Roberth</t>
  </si>
  <si>
    <t>Beatriz</t>
  </si>
  <si>
    <t xml:space="preserve">CT 017/2025 </t>
  </si>
  <si>
    <t xml:space="preserve">CT 040/2023 </t>
  </si>
  <si>
    <t xml:space="preserve">CT 097/2024 </t>
  </si>
  <si>
    <t xml:space="preserve">CT 035/2025 </t>
  </si>
  <si>
    <t xml:space="preserve">CT 104/2024 </t>
  </si>
  <si>
    <t xml:space="preserve">CT 063/2023 </t>
  </si>
  <si>
    <t xml:space="preserve">CT 147/2022 </t>
  </si>
  <si>
    <t xml:space="preserve">CT 051/2025 </t>
  </si>
  <si>
    <t xml:space="preserve">CT 108/2023 </t>
  </si>
  <si>
    <t xml:space="preserve">CT 015/2023 </t>
  </si>
  <si>
    <t xml:space="preserve">CT 096/2023 </t>
  </si>
  <si>
    <t xml:space="preserve">CT 037/2025 </t>
  </si>
  <si>
    <t xml:space="preserve">CT 012/2024 </t>
  </si>
  <si>
    <t xml:space="preserve">CT 096/2022 </t>
  </si>
  <si>
    <t xml:space="preserve">CT 129/2024 </t>
  </si>
  <si>
    <t xml:space="preserve">CT 102/2024 </t>
  </si>
  <si>
    <t xml:space="preserve">CT 002/2024 </t>
  </si>
  <si>
    <t xml:space="preserve">CT 080/2025 </t>
  </si>
  <si>
    <t xml:space="preserve">Elaboração de projeto executivo da Implantação da ampliação da ETE Sarapuí, no município de Belford Roxo. Vazão média de 1.225 L/s e máxima de 2.170 L/s REGIONAL BAIXADA 1. </t>
  </si>
  <si>
    <t>Elaboração do Projeto Executivo para o remanejamento de Adutora de Água Tratada 500mm em Cachoeira do Macacu-RJ, localizado na REGIONAL INTERIOR.</t>
  </si>
  <si>
    <t>Elaboração do Projeto Executivo do Rede de Distribuição e Adutora 450mm(AAT), construção de um (1) Reservatório metálico (3.250m3), ampliação do Booster Ipiíba, 566 l/s (3+1)e projetos complementares, em São José do Imbassaí, Maricá, localizado na REGIONAL LESTE.</t>
  </si>
  <si>
    <t xml:space="preserve">Elaboração do Projeto Executivo de Implantação do Sistema de Esgotamento Sanitário ETE Ipituna no  Município de São Sebastião do Alto (RJ), da REGIONAL INTERIOR. </t>
  </si>
  <si>
    <t xml:space="preserve">Elaboração do Projeto Executivo de Recuperação /Reforço Estrutural ou substituição da Laje de cobertura da Caixa de Transição Eufrásio Borges, unidade da REGIONAL NORTE. </t>
  </si>
  <si>
    <t xml:space="preserve">Elaboração de projeto executivo de nova ETA com capacidade para 100 L/s, denominada ETA Parque Império, e reservatórios de água tratada, a serem implantados no município de Duque de Caxias/RJ, unidade da REGIONAL BAIXADA 1 </t>
  </si>
  <si>
    <t xml:space="preserve">Elaboração de projeto executivo da Ampliação da ETA Manilha e melhoria do Tratamento de Lodo em Itaboraí/RJ, unidade da REGIONAL LESTE. </t>
  </si>
  <si>
    <t xml:space="preserve">Elaboração de projeto executivo de Implantação do Sistema de Esgotamento Sanitário ETE Aperibé 1 no Município de  Aperibé (RJ), REGIONAL INTERIOR. </t>
  </si>
  <si>
    <t xml:space="preserve">Elaboração de projeto executivo da Implantação do Sistema de Esgotamento Sanitário e do Sistema de Abastecimento de Água  de Sampaio Correia, REGIONAL LESTE. </t>
  </si>
  <si>
    <t>SES PAVUNA</t>
  </si>
  <si>
    <t>ETE PENHA</t>
  </si>
  <si>
    <t>ETE ARRAIAL</t>
  </si>
  <si>
    <t>FAZENDA LAGOA (TPS)</t>
  </si>
  <si>
    <t>UT’S MAGÉ E RJ</t>
  </si>
  <si>
    <t>ETE SÃO GONÇALO (CISM)</t>
  </si>
  <si>
    <t>ETA MARICÁ</t>
  </si>
  <si>
    <t>REMANEJAMENTO LINHA 03</t>
  </si>
  <si>
    <t>REMANEJAMENTO ADUTORA CACHOEIRA DE MACACU</t>
  </si>
  <si>
    <t>SAA DE SÃO JOSÉ DO IMBASSAÍ</t>
  </si>
  <si>
    <t>SES IPITUNA</t>
  </si>
  <si>
    <t>RECUPERAÇÃO ESTRUTURAL CAIXA TRANSIÇÃO E. BORGES</t>
  </si>
  <si>
    <t>ETA PARQUE IMPÉRIO</t>
  </si>
  <si>
    <t>AMPLIAÇÃO DA ETA MANILHA</t>
  </si>
  <si>
    <t>SES APERIBÉ</t>
  </si>
  <si>
    <t>SAA  E SES SAQUAREMA</t>
  </si>
  <si>
    <t>Cinturões (TPS)</t>
  </si>
  <si>
    <t>SES Bandeirantes e ETE Bandeirantes</t>
  </si>
  <si>
    <t>SAA Tanguá (CISM)</t>
  </si>
  <si>
    <t>ETE Penha (SDT)</t>
  </si>
  <si>
    <t>SES Pavuna (E-agua)</t>
  </si>
  <si>
    <t>ETE Arraial do Cabo (Saneares)</t>
  </si>
  <si>
    <t>UT’s Magé e Rio (Saneares)</t>
  </si>
  <si>
    <t>Encaminhado o arquivo da apresentação Handover e ATA da reunião</t>
  </si>
  <si>
    <t xml:space="preserve">Encerramento definitivo do Projeto </t>
  </si>
  <si>
    <t>Entrega realizada dos Projetos PC e assinados aos gestores</t>
  </si>
  <si>
    <t>Os projetos PC foram encaminhados pelo SDX. Mas enviamos também depois por e-mail.</t>
  </si>
  <si>
    <t>Remanejamento de Adutora AAT em Cachoeiras de Macacu</t>
  </si>
  <si>
    <t>A pedido da gerência de Obras da Leste, antecipamos a entrega dos projetos PC e assinados. Por esse motivo a reunião de handover foi realizada após a entrega dos projetos.</t>
  </si>
  <si>
    <t>Abastecimento de Água em São José do Imbassaí</t>
  </si>
  <si>
    <t xml:space="preserve"> SES IPITUNA</t>
  </si>
  <si>
    <t>Enviar os projetos PC e assinados aos gestores</t>
  </si>
  <si>
    <t>Em 10/11 a projetista informou que só conseguiria fazer a revisão em 14/11. Em 11/11 pedimos uma maior celeridade na entrega</t>
  </si>
  <si>
    <t>Finalização do Projeto</t>
  </si>
  <si>
    <t>Elaboração/Verificação de Proj. de Estruturas e Fundações</t>
  </si>
  <si>
    <t>Aguardar recebimento da apresentação revisada por projetos</t>
  </si>
  <si>
    <t>Eduardo ( Cassano de Melo)</t>
  </si>
  <si>
    <t>Reagendar apresentação de  Handover</t>
  </si>
  <si>
    <t>Beatriz/Silvana</t>
  </si>
  <si>
    <t>XX/11/25</t>
  </si>
  <si>
    <t>XX/11/25 +5 dias</t>
  </si>
  <si>
    <t>Sem data de retorno da entrega do arquivo pela projetista. No dia que recebermos, marcaremos a reunião de Handover. Calculando em até 5 dias devido a agenda de todos gestores</t>
  </si>
  <si>
    <t>Entrega dos Projetos PC e assinados aos gestores</t>
  </si>
  <si>
    <t>XX/11/25 +6 dias</t>
  </si>
  <si>
    <t>Adicionar os comentários e atualizações</t>
  </si>
  <si>
    <t>ETA Parque império</t>
  </si>
  <si>
    <t>Aguardar recebimento da apresentação e ser revisada por projetos</t>
  </si>
  <si>
    <t>Agendada  reunião de apresentação Handover</t>
  </si>
  <si>
    <t>Entrega dos Projetos PC e assinados aos gestores após aprovação dos projetos elétricos</t>
  </si>
  <si>
    <t xml:space="preserve">Após o recebimentos dos projetos elétricos pela Saneares, será analisado pela equipe de projetos. Estando tudo ok, mandaremos o pacote status PC e assinados até 18/11/2025 e com isso finalizando o projeto. </t>
  </si>
  <si>
    <t>Ampliação ETA Manilha</t>
  </si>
  <si>
    <t>Cism</t>
  </si>
  <si>
    <t>Após recebimento, gestora do projeto analisará a apresentação. A nova previsão de entrega é dia 13/11/2025</t>
  </si>
  <si>
    <t xml:space="preserve">Após o recebimentos dos projetos PC, serão analisados pela equipe de projetos. A nova data prevista é dia 14/11/25. Estando tudo ok, mandaremos o pacote status PC e assinados até 18/11/2025 e com isso finalizando o projeto. </t>
  </si>
  <si>
    <t xml:space="preserve">SES Aperibé </t>
  </si>
  <si>
    <t xml:space="preserve">Aguardar recebimento dos comentários da equipe de processos </t>
  </si>
  <si>
    <t>Processos Aegea</t>
  </si>
  <si>
    <t>Aguardar recebimento dos comentários da equipe de modelagem</t>
  </si>
  <si>
    <t>Modelagem Aegea</t>
  </si>
  <si>
    <t>Entrega dos Estudos Hidrológicos das Travessias</t>
  </si>
  <si>
    <t>Entrega do projeto Hidráulico da ETE de algumas unidades citadas acima e Esp. Técnicas de todos os equipamentos da ETE</t>
  </si>
  <si>
    <t>14/11/20255</t>
  </si>
  <si>
    <t>Depois de recebidos os E.H, Aegea terá até 10 dias de análise( data aprovação dia 26/11/25). Os projetos Hidr. Data aprovação dia 26/11/25 e as E.T data aprovação Aegea 11/12/25</t>
  </si>
  <si>
    <t>SES e SAA Saquarema</t>
  </si>
  <si>
    <t>Aguardar recebimento dos comentários da equipe de modelagem sobre os Transientes e MH da ATT</t>
  </si>
  <si>
    <t>Aguardar recebimento dos comentários dos gestores sobre os projetos de RCE, Perfil hidráulico, interceptores e EEE</t>
  </si>
  <si>
    <t>Equipe Obra/Operação</t>
  </si>
  <si>
    <t>Aguardar recebimento dos comentários da modelagem das redes e modelos e MD SES</t>
  </si>
  <si>
    <t>12/11/20255</t>
  </si>
  <si>
    <t>Hidrobr</t>
  </si>
  <si>
    <t>24/11/256</t>
  </si>
  <si>
    <t>Projeto Captação</t>
  </si>
  <si>
    <t>Projeto Adutora</t>
  </si>
  <si>
    <t>Projeto Travessia</t>
  </si>
  <si>
    <t>Projeto Reservatório</t>
  </si>
  <si>
    <t xml:space="preserve">CT 106/2025 </t>
  </si>
  <si>
    <t xml:space="preserve">CT 103/2025 </t>
  </si>
  <si>
    <t>Novos pontos de CTS: CTS-RJ3-SPV-08 (Rio de Janeiro) e CT-SG-SBV-01 (São Gonçalo)</t>
  </si>
  <si>
    <t>Etapa 2 do Projeto de CTS: Belford Roxo, Duque de Caxias e São Gonçalo</t>
  </si>
  <si>
    <t>Projeto de Ampliação da unidade para 450 l/s</t>
  </si>
  <si>
    <t>Projeto Executivo da ETE Farias – 700 l/s</t>
  </si>
  <si>
    <t>Projeto de Ampliação da unidade para 1.700 l/s</t>
  </si>
  <si>
    <t>Projeto de Ampliação da unidade para 1.100 l/s</t>
  </si>
  <si>
    <t>Projeto de Ampliação da unidade para 416 l/s</t>
  </si>
  <si>
    <t>Projeto de Ampliação da unidade para 440 l/s</t>
  </si>
  <si>
    <t>Projeto Executivo do SES Farias, Duque de Caxias (743 km de rede / 51 EEE)</t>
  </si>
  <si>
    <t>SES Saracuruna, Duque de Caxias (460 km de rede / 45 EEE)</t>
  </si>
  <si>
    <t>Problema de extravasamento na rua Nabuco de Freitas, bairro Santo Cristo</t>
  </si>
  <si>
    <t>Melhorias em 17 pontos da Zona Sul do Rio de Janeiro</t>
  </si>
  <si>
    <t>CTS - Etapa 2</t>
  </si>
  <si>
    <t>Validação</t>
  </si>
  <si>
    <t>Encaminhar os Pontos</t>
  </si>
  <si>
    <t>Avaliação do Projeto Hidráulico do Prédio de Lodo</t>
  </si>
  <si>
    <t>Processos</t>
  </si>
  <si>
    <t>Avaliação do Projeto Urbanístico</t>
  </si>
  <si>
    <t>Avaliação do Projeto Hidráulico do Prédio dos Sopradores</t>
  </si>
  <si>
    <t>Avaliação do Projeto Hidráulico do Tanque de Aeração</t>
  </si>
  <si>
    <t>ETE Farias</t>
  </si>
  <si>
    <t>Definição estratégica sobre os dados de entrada da ETE</t>
  </si>
  <si>
    <t>ETE Pavuna</t>
  </si>
  <si>
    <t>Avaliação do Estudo do Preliminar</t>
  </si>
  <si>
    <t>ETE Orquídea</t>
  </si>
  <si>
    <t>Revisar planilha de Vazão</t>
  </si>
  <si>
    <t>Romper contrato com a CISM</t>
  </si>
  <si>
    <t>Fausto</t>
  </si>
  <si>
    <t>CISM está cobrando a reunião entre equipes, CISM e Aegea, conforme orientado durante a visita da CISM no escritório na semana do dia 03/11/25. Necessário destrato para evitar reunião</t>
  </si>
  <si>
    <t>Elaborar TR para contratação da nova projetista</t>
  </si>
  <si>
    <t>Foi elaborado um esboço do TR e compartilhado com algumas empresas no mercado, com prazo de devolutiva das propostas em 14/11. Algumas empresas pediram mais prazo.</t>
  </si>
  <si>
    <t>ETE Siqueira</t>
  </si>
  <si>
    <t>ATO - Faseamento da Laje de Fundo do TA</t>
  </si>
  <si>
    <t>CISM</t>
  </si>
  <si>
    <t>ATO - Inexequibilidade das Estacas</t>
  </si>
  <si>
    <t>OBRAS</t>
  </si>
  <si>
    <t>Aguardando envio das excentricidades das estacas</t>
  </si>
  <si>
    <t>ATO – Trafo com divergências de potencias</t>
  </si>
  <si>
    <t>ATO – Base da casa dos geradores</t>
  </si>
  <si>
    <t>ATO – Locação do Tanque de Diesel</t>
  </si>
  <si>
    <t>ATO - Cota de Operação no NA de saída para o emissário</t>
  </si>
  <si>
    <t>Demanda que chegou para a CISM em visita técnica.</t>
  </si>
  <si>
    <t>SES Faria</t>
  </si>
  <si>
    <t>Modelagem</t>
  </si>
  <si>
    <t>Enviar projetos de automação para equipe avaliar</t>
  </si>
  <si>
    <t>Identificar divergências na travessia da ELOVIAS</t>
  </si>
  <si>
    <t>Compatibilização com projeto de CTS</t>
  </si>
  <si>
    <t>SES Saracuruna</t>
  </si>
  <si>
    <t>Aprovação do Estudo de Transientes Hidráulico da EE-11</t>
  </si>
  <si>
    <t>SES Santo Cristo</t>
  </si>
  <si>
    <t>Validar estudo de população e vazão</t>
  </si>
  <si>
    <t>Iniciar estudo de alternativas</t>
  </si>
  <si>
    <t>Status Projeto</t>
  </si>
  <si>
    <t>Status Contrato</t>
  </si>
  <si>
    <t>Contratado</t>
  </si>
  <si>
    <t>Início Previsto</t>
  </si>
  <si>
    <t>Início Real</t>
  </si>
  <si>
    <t>Duração</t>
  </si>
  <si>
    <t>Previsto Ano (R$MM)</t>
  </si>
  <si>
    <t>Saldo Contrato (R$MM)</t>
  </si>
  <si>
    <t>Previsto Contrato (R$MM)</t>
  </si>
  <si>
    <t>TR em Elaboração</t>
  </si>
  <si>
    <t>Projeto Executivo</t>
  </si>
  <si>
    <t>Assinatura</t>
  </si>
  <si>
    <t>Equalização</t>
  </si>
  <si>
    <t>Receber projeto executivo Rio Salgado</t>
  </si>
  <si>
    <t>TPS</t>
  </si>
  <si>
    <t>Receber projeto executivo cinturões</t>
  </si>
  <si>
    <t>Receber projeto executivo Valão da Marinha (Revisado)</t>
  </si>
  <si>
    <t>Aditivo Lote São João, Porto da Barra e Mossoró</t>
  </si>
  <si>
    <t>Mariana</t>
  </si>
  <si>
    <t>Necessário ajuste no projeto alterando a localização da EE Valão da Marinha. A EE ficará localizada no terreno da marinha e a CTS no arruamento.</t>
  </si>
  <si>
    <t>Solicitar aditivo contratual</t>
  </si>
  <si>
    <t>Receber versão final do projeto executivo</t>
  </si>
  <si>
    <t>O atraso se deve a alteração do formato de entrega que passou a ser via SDX.</t>
  </si>
  <si>
    <t>Receber atualização do projeto Hidráulico de Nilópolis</t>
  </si>
  <si>
    <t>Mário</t>
  </si>
  <si>
    <t xml:space="preserve">Avaliar 2º entrega de Nilópolis </t>
  </si>
  <si>
    <t>Recebimento da topografia e concepção prévia</t>
  </si>
  <si>
    <t>NGA</t>
  </si>
  <si>
    <t>Validação da topografia no SDX</t>
  </si>
  <si>
    <t>Recebimento da primeira prévia de concepção</t>
  </si>
  <si>
    <t>ESSE</t>
  </si>
  <si>
    <t>Documental</t>
  </si>
  <si>
    <t>Tipo da Tarefa</t>
  </si>
  <si>
    <t>Reunião alinhamento processos</t>
  </si>
  <si>
    <t>Estudo de vazão</t>
  </si>
  <si>
    <t>Pausado</t>
  </si>
  <si>
    <t>Necessário validação da área de projeto</t>
  </si>
  <si>
    <t>Recebimento da topografia</t>
  </si>
  <si>
    <t>Gerencial</t>
  </si>
  <si>
    <t>Adequação de Projeto EE Padrão AEGEA</t>
  </si>
  <si>
    <t>Aguardar análise dos projetos executivos: tratamento preliminar; Tanque de aeração, UASB, Leitos Secagem, Tanques de Cloreto Férrico e de Polímero</t>
  </si>
  <si>
    <t xml:space="preserve">Equipe Obras, operação e processos  </t>
  </si>
  <si>
    <t>Projeto Executivo - Hidraulico ETE</t>
  </si>
  <si>
    <t>Projeto Executivo - Estrutural ETE</t>
  </si>
  <si>
    <t>Projeto Executivo - Elétrico ETE</t>
  </si>
  <si>
    <t>Projeto Executivo - Orçamento</t>
  </si>
  <si>
    <t>ETE Sarapuí</t>
  </si>
  <si>
    <t>Finalizar a concepção da Planilha de Vazão</t>
  </si>
  <si>
    <t>Equipe Projetos  Aegea</t>
  </si>
  <si>
    <t>Sem Prazo</t>
  </si>
  <si>
    <t>Finalização da Planilha de BLEND</t>
  </si>
  <si>
    <t>Equipe Processos  Aegea</t>
  </si>
  <si>
    <t>Sem prazo</t>
  </si>
  <si>
    <t>Validação dos Pontos</t>
  </si>
  <si>
    <t>Prazo inicial: 17/10/2025
26 dias de atraso</t>
  </si>
  <si>
    <t>19 dias de atraso</t>
  </si>
  <si>
    <t>14 dias de atraso</t>
  </si>
  <si>
    <t>Avaliação do Projeto Arquitetônico da Cabine de Entrada e Medição</t>
  </si>
  <si>
    <t>Caeiro</t>
  </si>
  <si>
    <t>12 dias de atraso</t>
  </si>
  <si>
    <t>Projeto de Sinalização</t>
  </si>
  <si>
    <t>Operação</t>
  </si>
  <si>
    <t>Premissas de Automação</t>
  </si>
  <si>
    <t>Automação</t>
  </si>
  <si>
    <t>Projeto Automação -  Preliminar / Dec. Primário / Adensadores / EE Lodo</t>
  </si>
  <si>
    <t>Projeto Elétrico -  Preliminar / Dec. Primário / Adensadores / EE Lodo</t>
  </si>
  <si>
    <t>Projeto do Canteiro de Obras</t>
  </si>
  <si>
    <t>Marcello Carvalha / Bruno Callegario</t>
  </si>
  <si>
    <t>1 dia de atraso</t>
  </si>
  <si>
    <t>Essa necessidade foi apresentada na reunião gerencial entre Projeto e Processos, não está registrada/oficializada.
1 dia de atraso</t>
  </si>
  <si>
    <t>ATO</t>
  </si>
  <si>
    <t>Decidido que não seguiríamos com a consulta</t>
  </si>
  <si>
    <t>5 dias de atraso</t>
  </si>
  <si>
    <t>4 dias de atraso</t>
  </si>
  <si>
    <t>ATO – Estrutura Complexo Elétrico</t>
  </si>
  <si>
    <t>ETE Jardim Esperança</t>
  </si>
  <si>
    <t>ATO – Espessura da base dos reservatórios metálicos</t>
  </si>
  <si>
    <t>Aguardando memoria de calculo do fornecedor do reservatório.</t>
  </si>
  <si>
    <t>Substituição do Digestor</t>
  </si>
  <si>
    <t>Aguardando definição se vamos prever o digestor em segunda etapa.</t>
  </si>
  <si>
    <t>Avaliação do estudo de transientes (EE1-SB7, EE1-SB8 e EE1-SB10)</t>
  </si>
  <si>
    <t>12 dias de atraso  //  Material reprovado</t>
  </si>
  <si>
    <t>Avaliação do estudo de transientes (EE1-SB2, EE3-SB3 e EE1-SB5)</t>
  </si>
  <si>
    <t>Avaliação do estudo de transientes (EE2-SB5, EE3-SB5 e EE4-SB5)</t>
  </si>
  <si>
    <t>Avaliação do estudo de transientes (EE5-SB5 e EE6-SB5)</t>
  </si>
  <si>
    <t>Avaliação do Estudo de Alternativas para a rua Marques de São Vicente</t>
  </si>
  <si>
    <t>Avaliação do Estudo de Alternativas para a rua das Laranjeiras</t>
  </si>
  <si>
    <t xml:space="preserve">Avaliação do Estudo de Alternativas para a rua Gustavo Sampaio </t>
  </si>
  <si>
    <t>Rótulos de Linha</t>
  </si>
  <si>
    <t>Total Geral</t>
  </si>
  <si>
    <t>Contagem de Tipo da Tarefa</t>
  </si>
  <si>
    <t>Pendência: fechar a revisão.</t>
  </si>
  <si>
    <t>Entregue e está sendo validado a 1ª versão</t>
  </si>
  <si>
    <t xml:space="preserve">Será necessário revisão, atualização de área. </t>
  </si>
  <si>
    <t>Entregue - falta retorno da análise.</t>
  </si>
  <si>
    <t>Sem retorno time eletromec
12 dias de atrasado</t>
  </si>
  <si>
    <t>Essa necessidade foi apresentada na reunião gerencial entre Projeto e Processos, não está registrada/oficializada.
Reuniões:
 - Perufo (Apura)
 - Luciana
 - Todos</t>
  </si>
  <si>
    <t>Verificar se vamos romper com a CISM</t>
  </si>
  <si>
    <t>Recebido, será enviado ao time de obra</t>
  </si>
  <si>
    <t>6 dias de atraso</t>
  </si>
  <si>
    <t>11 dias de atraso</t>
  </si>
  <si>
    <t>Aberto 9 processos com automação (45 elevatórias)</t>
  </si>
  <si>
    <t>Aguardando aprovação estudo de vazão</t>
  </si>
  <si>
    <t>Preso no time de Modelagem
12 dias</t>
  </si>
  <si>
    <t xml:space="preserve">Está em analise </t>
  </si>
  <si>
    <t>Entregue ao Luis para avaliar o que tem que adequar ao PDE - Automação</t>
  </si>
  <si>
    <t>Necessidade de verificar se a sondagem foi realizada</t>
  </si>
  <si>
    <t>SES CAMBUCI</t>
  </si>
  <si>
    <t>SES CACHOEIRAS DE MACACU</t>
  </si>
  <si>
    <t>SES CANTAGALO</t>
  </si>
  <si>
    <t>SES CASIMIRO</t>
  </si>
  <si>
    <t>SES CORDEIRO</t>
  </si>
  <si>
    <t>SES ITAOCARA</t>
  </si>
  <si>
    <t>SES RIO BONITO</t>
  </si>
  <si>
    <t>SES SÃO FRANCISCO DE ITABAPOANA</t>
  </si>
  <si>
    <t>Demandas</t>
  </si>
  <si>
    <t xml:space="preserve"> </t>
  </si>
  <si>
    <t>Projetos Ativos</t>
  </si>
  <si>
    <t>Unidade</t>
  </si>
  <si>
    <t>und</t>
  </si>
  <si>
    <t>Item</t>
  </si>
  <si>
    <t>Quantidade</t>
  </si>
  <si>
    <t>ETE</t>
  </si>
  <si>
    <t>ETE (200 &lt; Q ≤ 500 l/s)</t>
  </si>
  <si>
    <t>ETE (500 &lt; Q ≤ 1.000 l/s)</t>
  </si>
  <si>
    <t>ETE (Q &gt; 1.000 l/s)</t>
  </si>
  <si>
    <t>ETA (200 &lt; Q ≤ 500 l/s)</t>
  </si>
  <si>
    <t>ETA (500 &lt; Q ≤ 1.000 l/s)</t>
  </si>
  <si>
    <t>ETA (Q &gt; 1.000 l/s)</t>
  </si>
  <si>
    <t>ETA (Q ≤ 200 l/s)</t>
  </si>
  <si>
    <t>ETE (Q ≤ 200 l/s)</t>
  </si>
  <si>
    <t>EEE (Q ≤ 10 l/s)</t>
  </si>
  <si>
    <t>EEE (50 &lt; Q &lt; 100 l/s)</t>
  </si>
  <si>
    <r>
      <t xml:space="preserve">EEE ( Q </t>
    </r>
    <r>
      <rPr>
        <sz val="11"/>
        <color theme="1"/>
        <rFont val="Aptos Narrow"/>
        <family val="2"/>
      </rPr>
      <t>≥</t>
    </r>
    <r>
      <rPr>
        <sz val="11"/>
        <color theme="1"/>
        <rFont val="Aptos Narrow"/>
        <family val="2"/>
        <scheme val="minor"/>
      </rPr>
      <t xml:space="preserve"> 100 l/s)</t>
    </r>
  </si>
  <si>
    <t>EEE (10 &lt; Q ≤ 50 l/s)</t>
  </si>
  <si>
    <t>EAT ou EAB ou Booster (Q ≤ 10 l/s)</t>
  </si>
  <si>
    <t>EAT ou EAB ou Booster (10 &lt; Q ≤ 50 l/s)</t>
  </si>
  <si>
    <t>EAT ou EAB ou Booster (50 &lt; Q &lt; 100 l/s)</t>
  </si>
  <si>
    <t>EAT ou EAB ou Booster ( Q ≥ 100 l/s)</t>
  </si>
  <si>
    <t>Fossas - Filtros</t>
  </si>
  <si>
    <t>EEE</t>
  </si>
  <si>
    <t>CTS</t>
  </si>
  <si>
    <t>Rede Coletora</t>
  </si>
  <si>
    <t>km</t>
  </si>
  <si>
    <t>ETA</t>
  </si>
  <si>
    <t>UTs Água</t>
  </si>
  <si>
    <t>Reservatórios</t>
  </si>
  <si>
    <t>EEA ou Boosters</t>
  </si>
  <si>
    <t>Rede de Abastecimento</t>
  </si>
  <si>
    <t>Sistema</t>
  </si>
  <si>
    <t>Interceptor - Coletor Tronco 
(m)</t>
  </si>
  <si>
    <t>RCE 
(m)</t>
  </si>
  <si>
    <t>ETE - 500&lt;Q&lt;1000
(und)</t>
  </si>
  <si>
    <t>ETE - Q&gt;1000
(und)</t>
  </si>
  <si>
    <t>ETE - Q&lt;200
(und)</t>
  </si>
  <si>
    <t>ETE - 200&lt;Q&lt;500
(und)</t>
  </si>
  <si>
    <t>ETA - Q&lt;50
(und)</t>
  </si>
  <si>
    <t>ETA - Q&gt;100
(und)</t>
  </si>
  <si>
    <t>ETA - 50&lt;Q&lt;100
(und)</t>
  </si>
  <si>
    <t>EEE - &lt;5 cv (und)</t>
  </si>
  <si>
    <t>EEE - &gt;5cv (und)</t>
  </si>
  <si>
    <t>Captação Superficial 
(und)</t>
  </si>
  <si>
    <t>Captação Subterrânea
(und)</t>
  </si>
  <si>
    <t>CTS GAP (und)</t>
  </si>
  <si>
    <t>CTS CH (und)</t>
  </si>
  <si>
    <t>EEAB (und)</t>
  </si>
  <si>
    <t>EEAT (und)</t>
  </si>
  <si>
    <t>Reservatório - Vol.&lt;500m³
(und)</t>
  </si>
  <si>
    <t>Reservatório - Vol.&gt;500m³
(und)</t>
  </si>
  <si>
    <t>SES Farias</t>
  </si>
  <si>
    <t>ETIG (450 l/s), Siqueira (416 l/s), Jardim Esperança (440 l/s)</t>
  </si>
  <si>
    <t>Farias (700 l/s)</t>
  </si>
  <si>
    <t>Orquídea (1.100 l/s) e Pavuna (1.700 l/s)</t>
  </si>
  <si>
    <t>SES Farias e SES Saracuruna</t>
  </si>
  <si>
    <t>EEE ( Q ≥ 100 l/s)</t>
  </si>
  <si>
    <t>Empresa</t>
  </si>
  <si>
    <t>SONDOTÉCNICA</t>
  </si>
  <si>
    <t>EAGUA</t>
  </si>
  <si>
    <t>HIDROCON</t>
  </si>
  <si>
    <t>HIDROBR</t>
  </si>
  <si>
    <t>PROSERENCO</t>
  </si>
  <si>
    <t>SANEARES</t>
  </si>
  <si>
    <t>AQUACON</t>
  </si>
  <si>
    <t>ENGECORPS</t>
  </si>
  <si>
    <t>CONEN</t>
  </si>
  <si>
    <t>SANETECH</t>
  </si>
  <si>
    <t>CTS NOVOS PONTOS</t>
  </si>
  <si>
    <t>SES BANDEIRANTES E SAA TANGUÁ</t>
  </si>
  <si>
    <t>SES DUAS BARRAS</t>
  </si>
  <si>
    <t>ETE SÃO GONÇALO</t>
  </si>
  <si>
    <t>CTS SA, TA E ME</t>
  </si>
  <si>
    <t>ETE SARAPUÍ</t>
  </si>
  <si>
    <t>NÚCLEO</t>
  </si>
  <si>
    <t>Cinturões</t>
  </si>
  <si>
    <t>ACQUALIS</t>
  </si>
  <si>
    <t>Comporta rio salgado</t>
  </si>
  <si>
    <t>Arthur esta revisando todos os comentários para realizar a entrega dia 15/11/25.​</t>
  </si>
  <si>
    <t>Aditivo Elaboração de projeto executivo para interligação de AAT entre os municipios de Rio Bonito e Tanguá</t>
  </si>
  <si>
    <t>Aditivo para revisão de Projeto Executivo para implantação de filtros Zeólitcas</t>
  </si>
  <si>
    <t>ETA ETA Maricá</t>
  </si>
  <si>
    <t>Análise dos projetos entregues</t>
  </si>
  <si>
    <t>AEGEA</t>
  </si>
  <si>
    <t>Time de processo solicitou alinhamento junto ao time de operação</t>
  </si>
  <si>
    <t>Projeto Executivo - Modelagem da Rede Nova</t>
  </si>
  <si>
    <t>Alinhamento com a operação sobre utilização da Rede Existente</t>
  </si>
  <si>
    <t>Entrega</t>
  </si>
  <si>
    <t>Prazo solicitado: 28/01</t>
  </si>
  <si>
    <t>Tomada de Preço</t>
  </si>
  <si>
    <t>Projeto executivo para expansão do SES no bairro de capão, buzios. A definir se será em RS, CTS ou misto.</t>
  </si>
  <si>
    <t>Projeto executivo para expansão do SES para Tamoios, Cabo Frio. A definir se será em RS, CTS ou misto.</t>
  </si>
  <si>
    <t>Projeto Executivo para CTS
Aguardando decisão da estratégia da Prolagos</t>
  </si>
  <si>
    <t>Projeto executivo de novos sistema de coleta em tempo seco para os municípios contratuais. Nilopolis, Mesquista e Nova Iguaçu</t>
  </si>
  <si>
    <t>Entregue o layout atualizado</t>
  </si>
  <si>
    <t>Está em avaliação da prolagos se é o escopo.</t>
  </si>
  <si>
    <t>Necessário validação ETEs compactas e Sistemas Isolados
Necessário apresentação do estudo de vazão</t>
  </si>
  <si>
    <t>Entregue 05/12/25 (falta validação)
Está sendo atualização conforma DATUM correto.</t>
  </si>
  <si>
    <t>Cancelado</t>
  </si>
  <si>
    <t>Projeto Executivo para atendimento do TAC Inea</t>
  </si>
  <si>
    <t>ETE JARDIM CATARINA</t>
  </si>
  <si>
    <t>SES MIRACEMA (CRITICA)</t>
  </si>
  <si>
    <t>n/a</t>
  </si>
  <si>
    <t>ProjectID</t>
  </si>
  <si>
    <t>PMORJ_00001</t>
  </si>
  <si>
    <t>PMORJ_00002</t>
  </si>
  <si>
    <t>PMORJ_00003</t>
  </si>
  <si>
    <t>PMORJ_00004</t>
  </si>
  <si>
    <t>PMORJ_00005</t>
  </si>
  <si>
    <t>PMORJ_00006</t>
  </si>
  <si>
    <t>PMORJ_00007</t>
  </si>
  <si>
    <t>PMORJ_00008</t>
  </si>
  <si>
    <t>PMORJ_00009</t>
  </si>
  <si>
    <t>PMORJ_00010</t>
  </si>
  <si>
    <t>PMORJ_00011</t>
  </si>
  <si>
    <t>PMORJ_00012</t>
  </si>
  <si>
    <t>PMORJ_00013</t>
  </si>
  <si>
    <t>PMORJ_00014</t>
  </si>
  <si>
    <t>PMORJ_00015</t>
  </si>
  <si>
    <t>PMORJ_00016</t>
  </si>
  <si>
    <t>PMORJ_00017</t>
  </si>
  <si>
    <t>PMORJ_00018</t>
  </si>
  <si>
    <t>PMORJ_00019</t>
  </si>
  <si>
    <t>PMORJ_00020</t>
  </si>
  <si>
    <t>PMORJ_00021</t>
  </si>
  <si>
    <t>PMORJ_00022</t>
  </si>
  <si>
    <t>PMORJ_00023</t>
  </si>
  <si>
    <t>PMORJ_00024</t>
  </si>
  <si>
    <t>PMORJ_00025</t>
  </si>
  <si>
    <t>PMORJ_00026</t>
  </si>
  <si>
    <t>PMORJ_00027</t>
  </si>
  <si>
    <t>PMORJ_00028</t>
  </si>
  <si>
    <t>PMORJ_00029</t>
  </si>
  <si>
    <t>PMORJ_00030</t>
  </si>
  <si>
    <t>PMORJ_00031</t>
  </si>
  <si>
    <t>PMORJ_00032</t>
  </si>
  <si>
    <t>PMORJ_00033</t>
  </si>
  <si>
    <t>PMORJ_00034</t>
  </si>
  <si>
    <t>PMORJ_00035</t>
  </si>
  <si>
    <t>PMORJ_00036</t>
  </si>
  <si>
    <t>PMORJ_00037</t>
  </si>
  <si>
    <t>PMORJ_00038</t>
  </si>
  <si>
    <t>PMORJ_00039</t>
  </si>
  <si>
    <t>PMORJ_00040</t>
  </si>
  <si>
    <t>PMORJ_00041</t>
  </si>
  <si>
    <t>PMORJ_00042</t>
  </si>
  <si>
    <t>PMORJ_00043</t>
  </si>
  <si>
    <t>PMORJ_00044</t>
  </si>
  <si>
    <t>PMORJ_00045</t>
  </si>
  <si>
    <t>PMORJ_00046</t>
  </si>
  <si>
    <t>PMORJ_00047</t>
  </si>
  <si>
    <t>PMORJ_00048</t>
  </si>
  <si>
    <t>PMORJ_00049</t>
  </si>
  <si>
    <t>PMORJ_00050</t>
  </si>
  <si>
    <t>PMORJ_00051</t>
  </si>
  <si>
    <t>PMORJ_00052</t>
  </si>
  <si>
    <t>PMORJ_00053</t>
  </si>
  <si>
    <t>PMORJ_00054</t>
  </si>
  <si>
    <t>PMORJ_00055</t>
  </si>
  <si>
    <t>PMORJ_00056</t>
  </si>
  <si>
    <t>PMORJ_00057</t>
  </si>
  <si>
    <t>PMORJ_00058</t>
  </si>
  <si>
    <t>Ano Obra</t>
  </si>
  <si>
    <t>Motivo Prioridade</t>
  </si>
  <si>
    <t>Prioridade</t>
  </si>
  <si>
    <t>Atualizado Por</t>
  </si>
  <si>
    <t>Ultima Atualização do Projeto</t>
  </si>
  <si>
    <t>MesRef</t>
  </si>
  <si>
    <t>Secao</t>
  </si>
  <si>
    <t>Ordem</t>
  </si>
  <si>
    <t>Texto</t>
  </si>
  <si>
    <t>AtualizadoEm</t>
  </si>
  <si>
    <t>AtualizadoPor</t>
  </si>
  <si>
    <t>Criticidade</t>
  </si>
  <si>
    <t>Marco</t>
  </si>
  <si>
    <t>DataPrevista</t>
  </si>
  <si>
    <t>DataReal</t>
  </si>
  <si>
    <t>Obervacao</t>
  </si>
  <si>
    <t>ETA PORTO DAS CAIXAS (SANEARES) &amp; ETA MARICÁ</t>
  </si>
  <si>
    <t>PMORJ_00059</t>
  </si>
  <si>
    <t>PMORJ_00060</t>
  </si>
  <si>
    <t xml:space="preserve">CTS ETAPA 2 CT 103/2025 </t>
  </si>
  <si>
    <t xml:space="preserve">CTS ETAPA 2 CT 106/2025 </t>
  </si>
  <si>
    <t>Próximos Passos</t>
  </si>
  <si>
    <t>Receber projeto executivo do lote dos 8 pontos;</t>
  </si>
  <si>
    <t>Receber projeto executivo atualizado Valão da Marinha;</t>
  </si>
  <si>
    <t>Receber projeto executivo Rio salgado.</t>
  </si>
  <si>
    <t>Felipe Aranha</t>
  </si>
  <si>
    <t>Definição da área da EE 55 (Iguaba)</t>
  </si>
  <si>
    <t>Alteração da localização da EE Valão da Marinha.</t>
  </si>
  <si>
    <t>Alteração dos projetos de Ees incluindo medidor de vazão e poço de gradeamento.</t>
  </si>
  <si>
    <t>Validações parciais das concepções</t>
  </si>
  <si>
    <t>Avanço do Período</t>
  </si>
  <si>
    <t>Principais Questões Identificadas</t>
  </si>
  <si>
    <t>Regional</t>
  </si>
  <si>
    <t>Prolagos</t>
  </si>
  <si>
    <t>Norte</t>
  </si>
  <si>
    <t>Geral</t>
  </si>
  <si>
    <t>Interior</t>
  </si>
  <si>
    <t>Centro-Sul/Comunidades</t>
  </si>
  <si>
    <t>TAC 2026 (8 UND)</t>
  </si>
  <si>
    <t>TAC (AQUACON)</t>
  </si>
  <si>
    <t>ETE APOLLO</t>
  </si>
  <si>
    <t>ETE QUEIMADOS - ATO</t>
  </si>
  <si>
    <t>ETA MIRACEMA - ATO</t>
  </si>
  <si>
    <t>ETA CORDEIRO - ATO</t>
  </si>
  <si>
    <t>ADUTORA RIO BONITO - TANGUÁ (DENTRO CONTRATO SARAPUÍ)</t>
  </si>
  <si>
    <t>ETA BARRA SECA</t>
  </si>
  <si>
    <t>CINTURÕES</t>
  </si>
  <si>
    <t>SES BUZIOS - BAIRRO CAPÃO</t>
  </si>
  <si>
    <t>SES CABO FRIO - TAMOIOS</t>
  </si>
  <si>
    <t>CTS SACO DA LULA</t>
  </si>
  <si>
    <t>ESTUDO HIDRODINÂMICO</t>
  </si>
  <si>
    <t>UTR IRAJÁ</t>
  </si>
  <si>
    <t>UTR RAMOS</t>
  </si>
  <si>
    <t>PMORJ_00061</t>
  </si>
  <si>
    <t>PMORJ_00062</t>
  </si>
  <si>
    <t>PMORJ_00063</t>
  </si>
  <si>
    <t>PMORJ_00064</t>
  </si>
  <si>
    <t>PMORJ_00065</t>
  </si>
  <si>
    <t>PMORJ_00066</t>
  </si>
  <si>
    <t>PMORJ_00067</t>
  </si>
  <si>
    <t>PMORJ_00068</t>
  </si>
  <si>
    <t>PMORJ_00069</t>
  </si>
  <si>
    <t>PMORJ_00070</t>
  </si>
  <si>
    <t>PMORJ_00071</t>
  </si>
  <si>
    <t>PMORJ_00072</t>
  </si>
  <si>
    <t>PMORJ_00073</t>
  </si>
  <si>
    <t>PMORJ_00074</t>
  </si>
  <si>
    <t>PMORJ_00075</t>
  </si>
  <si>
    <t>PMORJ_00076</t>
  </si>
  <si>
    <t>PMORJ_00077</t>
  </si>
  <si>
    <t>PMORJ_00078</t>
  </si>
  <si>
    <t>PMORJ_00079</t>
  </si>
  <si>
    <t>PMORJ_00080</t>
  </si>
  <si>
    <t>PMORJ_00081</t>
  </si>
  <si>
    <t>PMORJ_00082</t>
  </si>
  <si>
    <t>[AINU] PRAIA DA ROSA E SAPUCAIA</t>
  </si>
  <si>
    <t>[AINU] PARQUE ROYAL</t>
  </si>
  <si>
    <t>[AINU] COMPLEXO DO GUAÍBA</t>
  </si>
  <si>
    <t>[AINU]  MANDELA - MANGUINHOS</t>
  </si>
  <si>
    <t>[AINU] GREFISA</t>
  </si>
  <si>
    <t>[AINU] COLÔNIA DE PESCADORES ALMIRANTE GOMES PEREIRA</t>
  </si>
  <si>
    <t>[AINU] FURQUIM MENDES E DIQUE</t>
  </si>
  <si>
    <t>[AINU] ACARI</t>
  </si>
  <si>
    <t>[AINU] VILA EUGÊNIA</t>
  </si>
  <si>
    <t>[AINU] COMPLEXO DO CHAPADÃO</t>
  </si>
  <si>
    <t>[AINU] QUITANDA</t>
  </si>
  <si>
    <t>[AINU] COMPLEXO DO ALEMÃO</t>
  </si>
  <si>
    <t>[AINU] JACAREZINHO</t>
  </si>
  <si>
    <t>[AINU] BARREIRA DO VASCO</t>
  </si>
  <si>
    <t>[AINU] VILA ARARÁ</t>
  </si>
  <si>
    <t>[AINU] MORRO DA MINEIRA</t>
  </si>
  <si>
    <t>[AINU] MORRO DE QUEROSENE</t>
  </si>
  <si>
    <t>[AINU] ROCINHA</t>
  </si>
  <si>
    <t>[AINU] VIDIGAL</t>
  </si>
  <si>
    <t>[AINU] BABILÔNIA</t>
  </si>
  <si>
    <t>[AINU] SANTA MART</t>
  </si>
  <si>
    <t>[AINU] MATA MACHADO E TIJUAÇU</t>
  </si>
  <si>
    <t>Dimensionamento de Cinturão + E.E.E. + Rede ColetoraEstimativa: • Rede coletora - Cinturão: 673,00 m• Rede coletora - Distribuição: 2.300,00 m• Linha de Recalque: 83,00m• E.E.E: 1 unidade (implantação)Planta:   RT-61-RJ-EGR-214-EP-DG-K-018-00.pdf</t>
  </si>
  <si>
    <t>Dimensionamento de Cinturão + E.E.E. + Rede ColetoraEstimativa:• Rede coletora - Cinturão: 590,00 m• Rede coletora - Distribuição: 1.0000,00 m• Linha de Recalque: 170,00m• E.E.E: 1 unidade Planta:   RT-61-RJ-EGR-214-EP-DG-K-014-00.pdf</t>
  </si>
  <si>
    <t>Projeto executivo de Redes e Elevatórias de Esgoto para os Municípios de Cambuci: - 8,7 km de rede coletoras; - 6 EEE vazão &lt; 3 L/s - 3 Travessias de Linha de Recalque</t>
  </si>
  <si>
    <t>Projeto executivo de Rede, Elevatórias de Esgoto e ETE, para o município de Cantagalo: LR = 5.345 mRC = 31.253 m Ligações = 9.506 unidades CT = 1789 m EEE = 47 L/s ETE = 29 L/s</t>
  </si>
  <si>
    <t>Projeto executivo de Rede, Elevatórias de Esgoto e ETE, para o município de Cordeiro LR =  14.383 mRC = 34.353 mLigações = 6.917 unidadesEEE = 76 L/sETE = 28 L/s</t>
  </si>
  <si>
    <t>Projeto executivo de Rede, Elevatórias de Esgoto e ETE, para o município de Casimiro: RC = 6.458 mLigações = 731 unidadesETE = 48 L/s</t>
  </si>
  <si>
    <t>Projeto executivo de Rede, Elevatórias de Esgoto e ETE, para o município de Itaocara: LR =  8.017 mRC = 78.430 mLigações = 8.896 unidadesEEE = 47 L/sETE = 23 L/sCT = 811 m</t>
  </si>
  <si>
    <t>Projeto executivo de Rede, Elevatórias de Esgoto e ETE, para o município de Rio Bonito: LR =  26.561 mRC =  132.489  mLigações =  17.442  unidadesEEE = 410 L/sETE = 75 L/sCT = 1.033 m</t>
  </si>
  <si>
    <t>Projeto executivo de Rede, Elevatórias de Esgoto e ETE, para o município de São Francisco de Itabapoana: LR =   55.680  mRC = 294.910 mLigações =  23.748 unidadesEEEs =  238  L/sETE = 53 L/sCT = 1.226 m</t>
  </si>
  <si>
    <t>Projeto executivo de Rede, Elevatórias de Esgoto e ETE, para o município de Cachoeiras de Macacu: LR =  42.001 mRC = 171.564 mLigações = 23.011 unidadesCT = 2354 mEEE = 347 L/sETE = 41 L/s</t>
  </si>
  <si>
    <t>PMORJ_00083</t>
  </si>
  <si>
    <t>Em andamento</t>
  </si>
  <si>
    <t>Felipe</t>
  </si>
  <si>
    <t>CT 006/2026</t>
  </si>
  <si>
    <t>SAA CACERIBU</t>
  </si>
  <si>
    <t>Captação: 600 l/s Elevatória de Água Bruta: &gt;500CV / 600 l/s Adutora de Água Bruta: 500 m Estação de Tratamento de Água: 600 l/s Elevatória de Água Tratada: &gt;500CV / 600 l/s Adutora de Água Tratada: 40.000m Reservatório: 10.000 m³</t>
  </si>
  <si>
    <t xml:space="preserve">Projeto Executivo de sistema de abastecimento de água de Caceribu.
Captação: 600 l/s 
Elevatória de Água Bruta: &gt;500CV / 600 l/s 
Adutora de Água Bruta: 500 m 
Estação de Tratamento de Água: 600 l/s 
Elevatória de Água Tratada: &gt;500CV / 600 l/s 
Adutora de Água Tratada: 40.000m 
Reservatório: 10.000 m³ </t>
  </si>
  <si>
    <t>Pauta</t>
  </si>
  <si>
    <t>Reunião 10/02</t>
  </si>
  <si>
    <t>Avaliar o espaçamento entre as estruturas</t>
  </si>
  <si>
    <t>Consulta ao meio ambiente</t>
  </si>
  <si>
    <t>Verificar quais alternativas podem compor o estudo em caso de restrição extrema de área (Nereda, BRC, e MBBR).</t>
  </si>
  <si>
    <t>Otimização do dimensionamento da CISM</t>
  </si>
  <si>
    <t xml:space="preserve">Ananda </t>
  </si>
  <si>
    <t>ETE GUANDÚ</t>
  </si>
  <si>
    <t>Avaliação do Tratamento Preliminar</t>
  </si>
  <si>
    <t>Avaliação do Dimensionamento Hidráulico</t>
  </si>
  <si>
    <t>2a parte da revisão do projeto hidráulic</t>
  </si>
  <si>
    <t>Projeto / Assunto</t>
  </si>
  <si>
    <t>ETE BANDEIRANTES</t>
  </si>
  <si>
    <t>Definição processos e Projetos qual Blend enviar para Projetista. Alinhamento com Diretoria - enviado 10/02</t>
  </si>
  <si>
    <t>Análise das Revisões dos projetos da ETE conforme comentários da equipe processos - enviado 10/02</t>
  </si>
  <si>
    <t>Avaliação dos projetos ETE Roncador - enviado em 09/02</t>
  </si>
  <si>
    <t>ETE APERIBÉ</t>
  </si>
  <si>
    <t>ETE RONCADOR</t>
  </si>
  <si>
    <t>Término</t>
  </si>
  <si>
    <t>Análise das revisões dos projetos Hidráulicos conforme comentários da equipe de processos - enviado 05/02</t>
  </si>
  <si>
    <t>Análise das Revisões dos projetos Hidráulicos conforme comentários da equipe processos - enviado 05/02</t>
  </si>
  <si>
    <t>Avaliação do e-mail do Consultor Sidney com considerações sobre dimensionamento da ETA - enviado em 09/01</t>
  </si>
  <si>
    <t>ETA PORTO DAS CAIXAS</t>
  </si>
  <si>
    <t>ETA JACONÉ</t>
  </si>
  <si>
    <t>PMORJ_00084</t>
  </si>
  <si>
    <t>PMORJ_00085</t>
  </si>
  <si>
    <t>REMANEJAMENTO JARDIM DE ALAH</t>
  </si>
  <si>
    <t>CT 133/2025</t>
  </si>
  <si>
    <t>Não</t>
  </si>
  <si>
    <t>Planejamento Mês</t>
  </si>
  <si>
    <t>Sim</t>
  </si>
  <si>
    <t>N/A</t>
  </si>
  <si>
    <t>Gestor Contrante</t>
  </si>
  <si>
    <t>Gestor Contratada</t>
  </si>
  <si>
    <t>Hebert</t>
  </si>
  <si>
    <t>Cristiane</t>
  </si>
  <si>
    <t>Fabiele</t>
  </si>
  <si>
    <t>Mario Costa</t>
  </si>
  <si>
    <t>Marilda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</si>
</sst>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_ #,##0.00_-;\ #,##0.00_-;_ &quot;-&quot;??_-;_-@_-"/>
    <numFmt numFmtId="165" formatCode="_ #,##0.00_-;[Red]\ \(#,##0.00\);_ &quot;-&quot;??_-;_-@_-"/>
    <numFmt numFmtId="166" formatCode="_ #,##0.00,,_-;[Red]\ \(#,##0.00,,\);_ &quot;-&quot;??_-;_-@_-"/>
    <numFmt numFmtId="167" formatCode="mmmm\ yy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rgb="FF111799"/>
      <name val="DM Sans"/>
    </font>
    <font>
      <sz val="11"/>
      <color theme="1"/>
      <name val="DM Sans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111799"/>
      <name val="DM Sans"/>
    </font>
    <font>
      <sz val="12"/>
      <color rgb="FF142C89"/>
      <name val="DM Sans"/>
    </font>
    <font>
      <sz val="11"/>
      <color rgb="FF142C89"/>
      <name val="DM Sans"/>
    </font>
    <font>
      <b/>
      <sz val="12"/>
      <color rgb="FF142C89"/>
      <name val="DM Sans"/>
    </font>
    <font>
      <b/>
      <sz val="11"/>
      <color rgb="FF142C89"/>
      <name val="DM Sans"/>
    </font>
    <font>
      <sz val="10"/>
      <color theme="1"/>
      <name val="DM Sans"/>
    </font>
    <font>
      <sz val="10"/>
      <color rgb="FF142C89"/>
      <name val="DM Sans"/>
    </font>
    <font>
      <b/>
      <sz val="8"/>
      <color rgb="FF111799"/>
      <name val="DM Sans"/>
    </font>
    <font>
      <sz val="8"/>
      <color theme="1"/>
      <name val="DM Sans"/>
    </font>
    <font>
      <sz val="10"/>
      <color rgb="FF111799"/>
      <name val="DM Sans"/>
    </font>
    <font>
      <b/>
      <sz val="11"/>
      <color rgb="FF111799"/>
      <name val="DM Sans"/>
    </font>
    <font>
      <sz val="11"/>
      <color theme="1"/>
      <name val="Aptos Narrow"/>
      <family val="2"/>
    </font>
    <font>
      <sz val="11"/>
      <color rgb="FF111799"/>
      <name val="DM Sans"/>
    </font>
    <font>
      <sz val="11"/>
      <color theme="1"/>
      <name val="AriL"/>
    </font>
    <font>
      <sz val="10"/>
      <color rgb="FFFF0000"/>
      <name val="DM Sans"/>
    </font>
    <font>
      <sz val="11"/>
      <color rgb="FFFF0000"/>
      <name val="DM Sans"/>
    </font>
    <font>
      <sz val="10"/>
      <color rgb="FF00B050"/>
      <name val="DM Sans"/>
    </font>
    <font>
      <sz val="11"/>
      <color rgb="FF00B050"/>
      <name val="DM Sans"/>
    </font>
    <font>
      <b/>
      <sz val="10"/>
      <color rgb="FFFF0000"/>
      <name val="DM Sans"/>
    </font>
  </fonts>
  <fills count="4">
    <fill>
      <patternFill patternType="none"/>
    </fill>
    <fill>
      <patternFill patternType="gray125"/>
    </fill>
    <fill>
      <patternFill patternType="solid">
        <fgColor rgb="FFE7E7E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111799"/>
      </top>
      <bottom style="medium">
        <color rgb="FF111799"/>
      </bottom>
      <diagonal/>
    </border>
    <border>
      <left/>
      <right/>
      <top/>
      <bottom style="medium">
        <color rgb="FF1117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6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left" vertical="center" wrapText="1" readingOrder="1"/>
    </xf>
    <xf numFmtId="0" fontId="7" fillId="2" borderId="0" xfId="0" applyFont="1" applyFill="1" applyAlignment="1">
      <alignment horizontal="left" vertical="center" wrapText="1" readingOrder="1"/>
    </xf>
    <xf numFmtId="0" fontId="7" fillId="2" borderId="2" xfId="0" applyFont="1" applyFill="1" applyBorder="1" applyAlignment="1">
      <alignment horizontal="left" vertical="center" wrapText="1" readingOrder="1"/>
    </xf>
    <xf numFmtId="165" fontId="8" fillId="0" borderId="0" xfId="0" applyNumberFormat="1" applyFont="1" applyAlignment="1">
      <alignment horizontal="center" vertical="center" wrapText="1" readingOrder="1"/>
    </xf>
    <xf numFmtId="165" fontId="8" fillId="2" borderId="0" xfId="0" applyNumberFormat="1" applyFont="1" applyFill="1" applyAlignment="1">
      <alignment horizontal="center" vertical="center" wrapText="1" readingOrder="1"/>
    </xf>
    <xf numFmtId="165" fontId="8" fillId="2" borderId="2" xfId="0" applyNumberFormat="1" applyFont="1" applyFill="1" applyBorder="1" applyAlignment="1">
      <alignment horizontal="center" vertical="center" wrapText="1" readingOrder="1"/>
    </xf>
    <xf numFmtId="0" fontId="9" fillId="0" borderId="0" xfId="0" applyFont="1" applyAlignment="1">
      <alignment horizontal="left" vertical="center" wrapText="1" readingOrder="1"/>
    </xf>
    <xf numFmtId="165" fontId="10" fillId="0" borderId="0" xfId="0" applyNumberFormat="1" applyFont="1" applyAlignment="1">
      <alignment horizontal="center" vertical="center" wrapText="1" readingOrder="1"/>
    </xf>
    <xf numFmtId="0" fontId="4" fillId="0" borderId="0" xfId="0" applyFont="1"/>
    <xf numFmtId="14" fontId="2" fillId="0" borderId="0" xfId="0" applyNumberFormat="1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horizontal="left" vertical="center" readingOrder="1"/>
    </xf>
    <xf numFmtId="164" fontId="2" fillId="0" borderId="0" xfId="1" applyNumberFormat="1" applyFont="1" applyFill="1" applyBorder="1" applyAlignment="1">
      <alignment horizontal="left" vertical="center" wrapText="1" readingOrder="1"/>
    </xf>
    <xf numFmtId="0" fontId="2" fillId="0" borderId="0" xfId="0" applyFont="1" applyAlignment="1">
      <alignment horizontal="center" vertical="center" readingOrder="1"/>
    </xf>
    <xf numFmtId="0" fontId="3" fillId="0" borderId="0" xfId="0" applyFont="1" applyAlignment="1">
      <alignment horizontal="center" vertical="center" wrapText="1" readingOrder="1"/>
    </xf>
    <xf numFmtId="0" fontId="11" fillId="0" borderId="0" xfId="0" applyFont="1" applyAlignment="1">
      <alignment horizontal="center" vertical="center" wrapText="1" readingOrder="1"/>
    </xf>
    <xf numFmtId="0" fontId="11" fillId="0" borderId="0" xfId="0" applyFont="1" applyAlignment="1">
      <alignment horizontal="left" vertical="center" indent="1" readingOrder="1"/>
    </xf>
    <xf numFmtId="9" fontId="11" fillId="0" borderId="0" xfId="0" applyNumberFormat="1" applyFont="1" applyAlignment="1">
      <alignment horizontal="center" vertical="center" wrapText="1" readingOrder="1"/>
    </xf>
    <xf numFmtId="0" fontId="11" fillId="0" borderId="0" xfId="0" applyFont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 wrapText="1" readingOrder="1"/>
    </xf>
    <xf numFmtId="165" fontId="12" fillId="0" borderId="0" xfId="1" applyNumberFormat="1" applyFont="1" applyFill="1" applyBorder="1" applyAlignment="1">
      <alignment horizontal="center" vertical="center" wrapText="1" readingOrder="1"/>
    </xf>
    <xf numFmtId="14" fontId="2" fillId="0" borderId="0" xfId="0" applyNumberFormat="1" applyFont="1" applyAlignment="1">
      <alignment horizontal="center" vertical="center" wrapText="1"/>
    </xf>
    <xf numFmtId="0" fontId="11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6" fontId="12" fillId="0" borderId="0" xfId="1" applyNumberFormat="1" applyFont="1" applyFill="1" applyAlignment="1">
      <alignment horizontal="center" vertical="center" wrapText="1" readingOrder="1"/>
    </xf>
    <xf numFmtId="164" fontId="2" fillId="0" borderId="0" xfId="1" applyNumberFormat="1" applyFont="1" applyFill="1" applyAlignment="1">
      <alignment horizontal="left" vertical="center" wrapText="1" readingOrder="1"/>
    </xf>
    <xf numFmtId="1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readingOrder="1"/>
    </xf>
    <xf numFmtId="0" fontId="13" fillId="0" borderId="0" xfId="0" applyFont="1" applyAlignment="1">
      <alignment horizontal="center" vertical="center" readingOrder="1"/>
    </xf>
    <xf numFmtId="0" fontId="13" fillId="0" borderId="0" xfId="0" applyFont="1" applyAlignment="1">
      <alignment horizontal="center" vertical="center" wrapText="1" readingOrder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 readingOrder="1"/>
    </xf>
    <xf numFmtId="0" fontId="14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5" fillId="0" borderId="0" xfId="0" applyFont="1" applyAlignment="1">
      <alignment horizontal="left" vertical="center" indent="1" readingOrder="1"/>
    </xf>
    <xf numFmtId="165" fontId="12" fillId="0" borderId="0" xfId="1" applyNumberFormat="1" applyFont="1" applyFill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readingOrder="1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3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19" fillId="3" borderId="3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left" vertical="center"/>
    </xf>
    <xf numFmtId="0" fontId="19" fillId="3" borderId="3" xfId="0" applyFont="1" applyFill="1" applyBorder="1" applyAlignment="1">
      <alignment vertical="center"/>
    </xf>
    <xf numFmtId="0" fontId="20" fillId="0" borderId="0" xfId="0" applyFont="1" applyAlignment="1">
      <alignment horizontal="center" vertical="center" readingOrder="1"/>
    </xf>
    <xf numFmtId="0" fontId="20" fillId="0" borderId="0" xfId="0" applyFont="1" applyAlignment="1">
      <alignment horizontal="center" vertical="center" wrapText="1"/>
    </xf>
    <xf numFmtId="14" fontId="20" fillId="0" borderId="0" xfId="0" applyNumberFormat="1" applyFont="1" applyAlignment="1">
      <alignment horizontal="center" vertical="center" wrapText="1" readingOrder="1"/>
    </xf>
    <xf numFmtId="0" fontId="21" fillId="0" borderId="0" xfId="0" applyFont="1"/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 vertical="center" wrapText="1"/>
    </xf>
    <xf numFmtId="14" fontId="22" fillId="0" borderId="0" xfId="0" applyNumberFormat="1" applyFont="1" applyAlignment="1">
      <alignment horizontal="center" vertical="center" wrapText="1" readingOrder="1"/>
    </xf>
    <xf numFmtId="0" fontId="23" fillId="0" borderId="0" xfId="0" applyFont="1"/>
    <xf numFmtId="0" fontId="15" fillId="0" borderId="0" xfId="0" applyFont="1" applyAlignment="1">
      <alignment horizontal="center" vertical="center" readingOrder="1"/>
    </xf>
    <xf numFmtId="0" fontId="15" fillId="0" borderId="0" xfId="0" applyFont="1" applyAlignment="1">
      <alignment horizontal="center"/>
    </xf>
    <xf numFmtId="14" fontId="15" fillId="0" borderId="0" xfId="0" applyNumberFormat="1" applyFont="1" applyAlignment="1">
      <alignment horizontal="center" vertical="center" wrapText="1" readingOrder="1"/>
    </xf>
    <xf numFmtId="165" fontId="15" fillId="0" borderId="0" xfId="1" applyNumberFormat="1" applyFont="1" applyFill="1" applyBorder="1" applyAlignment="1">
      <alignment horizontal="center" vertical="center" wrapText="1" readingOrder="1"/>
    </xf>
    <xf numFmtId="166" fontId="15" fillId="0" borderId="0" xfId="1" applyNumberFormat="1" applyFont="1" applyFill="1" applyAlignment="1">
      <alignment horizontal="center" vertical="center" wrapText="1" readingOrder="1"/>
    </xf>
    <xf numFmtId="165" fontId="15" fillId="0" borderId="0" xfId="1" applyNumberFormat="1" applyFont="1" applyFill="1" applyAlignment="1">
      <alignment horizontal="center" vertical="center" wrapText="1" readingOrder="1"/>
    </xf>
    <xf numFmtId="0" fontId="18" fillId="0" borderId="0" xfId="0" applyFont="1"/>
    <xf numFmtId="0" fontId="24" fillId="0" borderId="0" xfId="0" applyFont="1" applyAlignment="1">
      <alignment horizontal="left" vertical="center" indent="1" readingOrder="1"/>
    </xf>
    <xf numFmtId="17" fontId="11" fillId="0" borderId="0" xfId="0" applyNumberFormat="1" applyFont="1" applyAlignment="1">
      <alignment horizontal="center" vertical="center" readingOrder="1"/>
    </xf>
    <xf numFmtId="0" fontId="2" fillId="0" borderId="0" xfId="0" applyFont="1"/>
    <xf numFmtId="0" fontId="13" fillId="0" borderId="4" xfId="0" applyFont="1" applyBorder="1" applyAlignment="1">
      <alignment horizontal="center" vertical="center" wrapText="1" readingOrder="1"/>
    </xf>
    <xf numFmtId="167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" fontId="11" fillId="0" borderId="0" xfId="0" applyNumberFormat="1" applyFont="1" applyAlignment="1">
      <alignment horizontal="left" vertical="center" indent="1" readingOrder="1"/>
    </xf>
    <xf numFmtId="0" fontId="11" fillId="0" borderId="0" xfId="0" applyFont="1" applyAlignment="1">
      <alignment horizontal="left" vertical="center" wrapText="1" indent="1" readingOrder="1"/>
    </xf>
    <xf numFmtId="0" fontId="15" fillId="0" borderId="0" xfId="0" applyFont="1" applyAlignment="1">
      <alignment horizontal="center" vertical="center"/>
    </xf>
    <xf numFmtId="14" fontId="3" fillId="0" borderId="0" xfId="0" applyNumberFormat="1" applyFont="1"/>
    <xf numFmtId="1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3" fontId="11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vertical="center"/>
    </xf>
    <xf numFmtId="14" fontId="11" fillId="0" borderId="0" xfId="0" applyNumberFormat="1" applyFont="1"/>
    <xf numFmtId="0" fontId="6" fillId="0" borderId="1" xfId="0" applyFont="1" applyBorder="1" applyAlignment="1">
      <alignment horizontal="center" vertical="center" wrapText="1" readingOrder="1"/>
    </xf>
  </cellXfs>
  <cellStyles count="2">
    <cellStyle name="Normal" xfId="0" builtinId="0"/>
    <cellStyle name="Vírgula" xfId="1" builtinId="3"/>
  </cellStyles>
  <dxfs count="172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6600"/>
        </patternFill>
      </fill>
    </dxf>
    <dxf>
      <font>
        <b/>
        <i val="0"/>
        <color theme="0"/>
      </font>
      <fill>
        <patternFill patternType="solid">
          <fgColor auto="1"/>
          <bgColor rgb="FF111799"/>
        </patternFill>
      </fill>
    </dxf>
    <dxf>
      <font>
        <b/>
        <i val="0"/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66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66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66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rgb="FFFF000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1" tint="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111799"/>
        <name val="DM Sans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rgb="FF111799"/>
        <name val="DM Sans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799"/>
        <name val="DM Sans"/>
        <scheme val="none"/>
      </font>
      <numFmt numFmtId="164" formatCode="_ #,##0.00_-;\ #,##0.00_-;_ &quot;-&quot;??_-;_-@_-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799"/>
        <name val="DM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799"/>
        <name val="DM Sans"/>
        <scheme val="none"/>
      </font>
      <numFmt numFmtId="19" formatCode="dd/mm/yyyy"/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799"/>
        <name val="DM Sans"/>
        <scheme val="none"/>
      </font>
      <numFmt numFmtId="19" formatCode="dd/mm/yyyy"/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799"/>
        <name val="DM San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799"/>
        <name val="DM San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799"/>
        <name val="DM San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799"/>
        <name val="DM Sans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799"/>
        <name val="DM Sans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799"/>
        <name val="DM San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799"/>
        <name val="DM Sans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799"/>
        <name val="DM Sans"/>
        <scheme val="none"/>
      </font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799"/>
        <name val="DM San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1"/>
    </dxf>
    <dxf>
      <border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strike val="0"/>
        <outline val="0"/>
        <shadow val="0"/>
        <u val="none"/>
        <vertAlign val="baseline"/>
        <sz val="8"/>
        <color rgb="FF111799"/>
        <name val="DM Sans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111799"/>
        <name val="DM San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42C89"/>
        <name val="DM Sans"/>
        <scheme val="none"/>
      </font>
      <numFmt numFmtId="166" formatCode="_ #,##0.00,,_-;[Red]\ \(#,##0.00,,\);_ &quot;-&quot;??_-;_-@_-"/>
      <alignment horizontal="center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sz val="10"/>
        <color rgb="FF142C89"/>
        <name val="DM Sans"/>
        <scheme val="none"/>
      </font>
      <numFmt numFmtId="166" formatCode="_ #,##0.00,,_-;[Red]\ \(#,##0.00,,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alignment horizontal="center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alignment horizontal="center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alignment horizontal="center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alignment horizontal="center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sz val="10"/>
        <color rgb="FF142C89"/>
        <name val="DM Sans"/>
        <scheme val="none"/>
      </font>
      <numFmt numFmtId="165" formatCode="_ #,##0.00_-;[Red]\ \(#,##0.00\);_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sz val="10"/>
        <name val="DM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sz val="10"/>
        <name val="DM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numFmt numFmtId="19" formatCode="dd/mm/yyyy"/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numFmt numFmtId="19" formatCode="dd/mm/yyyy"/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numFmt numFmtId="1" formatCode="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DM Sans"/>
        <scheme val="none"/>
      </font>
      <alignment horizont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sz val="10"/>
        <name val="DM Sans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left" vertical="center" textRotation="0" wrapText="0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left" vertical="center" textRotation="0" wrapText="0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left" vertical="center" textRotation="0" wrapText="0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left" vertical="center" textRotation="0" wrapText="0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left" vertical="center" textRotation="0" wrapText="0" indent="1" justifyLastLine="0" shrinkToFit="0" readingOrder="1"/>
    </dxf>
    <dxf>
      <font>
        <strike val="0"/>
        <outline val="0"/>
        <shadow val="0"/>
        <u val="none"/>
        <vertAlign val="baseline"/>
        <sz val="10"/>
        <color rgb="FF111799"/>
        <name val="DM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left" vertical="center" textRotation="0" wrapText="0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left" vertical="center" textRotation="0" wrapText="0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left" vertical="center" textRotation="0" wrapText="0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left" vertical="center" textRotation="0" wrapText="0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left" vertical="center" textRotation="0" wrapText="0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left" vertical="center" textRotation="0" wrapText="0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left" vertical="center" textRotation="0" wrapText="0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799"/>
        <name val="DM Sans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left" vertical="center" textRotation="0" wrapText="0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left" vertical="center" textRotation="0" wrapText="0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left" vertical="center" textRotation="0" wrapText="0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left" vertical="center" textRotation="0" wrapText="0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left" vertical="center" textRotation="0" wrapText="0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DM Sans"/>
        <scheme val="none"/>
      </font>
      <alignment horizontal="left" vertical="center" textRotation="0" wrapText="0" indent="1" justifyLastLine="0" shrinkToFit="0" readingOrder="1"/>
    </dxf>
    <dxf>
      <font>
        <strike val="0"/>
        <outline val="0"/>
        <shadow val="0"/>
        <u val="none"/>
        <vertAlign val="baseline"/>
        <sz val="10"/>
        <name val="DM Sans"/>
        <scheme val="none"/>
      </font>
      <alignment horizontal="center" vertical="center" textRotation="0" wrapText="0" indent="0" justifyLastLine="0" shrinkToFit="0" readingOrder="1"/>
    </dxf>
    <dxf>
      <font>
        <strike val="0"/>
        <outline val="0"/>
        <shadow val="0"/>
        <u val="none"/>
        <vertAlign val="baseline"/>
        <sz val="10"/>
        <color theme="1"/>
        <name val="DM Sans"/>
        <scheme val="none"/>
      </font>
    </dxf>
    <dxf>
      <font>
        <strike val="0"/>
        <outline val="0"/>
        <shadow val="0"/>
        <u val="none"/>
        <vertAlign val="baseline"/>
        <sz val="10"/>
        <name val="DM San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M Sans"/>
        <scheme val="none"/>
      </font>
    </dxf>
    <dxf>
      <fill>
        <patternFill>
          <bgColor rgb="FFE7E7EF"/>
        </patternFill>
      </fill>
      <border>
        <top style="thin">
          <color rgb="FF111799"/>
        </top>
        <bottom style="thin">
          <color rgb="FF111799"/>
        </bottom>
      </border>
    </dxf>
    <dxf>
      <font>
        <b val="0"/>
        <i val="0"/>
        <color rgb="FF111799"/>
      </font>
      <fill>
        <patternFill patternType="solid">
          <bgColor theme="0"/>
        </patternFill>
      </fill>
      <border>
        <top style="thin">
          <color rgb="FF111799"/>
        </top>
        <bottom style="thin">
          <color rgb="FF111799"/>
        </bottom>
      </border>
    </dxf>
    <dxf>
      <font>
        <b/>
        <i val="0"/>
        <color rgb="FF111799"/>
      </font>
      <fill>
        <patternFill>
          <bgColor theme="0"/>
        </patternFill>
      </fill>
      <border>
        <top style="thick">
          <color rgb="FF111799"/>
        </top>
        <bottom/>
      </border>
    </dxf>
    <dxf>
      <font>
        <b/>
        <i val="0"/>
        <color rgb="FF111799"/>
      </font>
      <fill>
        <patternFill patternType="solid">
          <bgColor theme="0"/>
        </patternFill>
      </fill>
      <border>
        <right style="dashed">
          <color theme="0" tint="-4.9989318521683403E-2"/>
        </right>
        <top style="medium">
          <color rgb="FF111799"/>
        </top>
        <bottom style="medium">
          <color rgb="FF111799"/>
        </bottom>
      </border>
    </dxf>
    <dxf>
      <font>
        <color rgb="FF111799"/>
      </font>
      <border>
        <right/>
        <top style="medium">
          <color rgb="FF111799"/>
        </top>
        <bottom style="medium">
          <color rgb="FF111799"/>
        </bottom>
        <vertical/>
      </border>
    </dxf>
    <dxf>
      <font>
        <color rgb="FF111799"/>
      </font>
      <fill>
        <patternFill>
          <bgColor rgb="FFE7E7EF"/>
        </patternFill>
      </fill>
      <border>
        <bottom style="thin">
          <color theme="0"/>
        </bottom>
      </border>
    </dxf>
    <dxf>
      <font>
        <b val="0"/>
        <i val="0"/>
        <color rgb="FF111799"/>
      </font>
      <fill>
        <patternFill>
          <bgColor rgb="FFCCCCDE"/>
        </patternFill>
      </fill>
      <border>
        <bottom style="thin">
          <color theme="0"/>
        </bottom>
      </border>
    </dxf>
    <dxf>
      <font>
        <b/>
        <i val="0"/>
        <color rgb="FF111799"/>
      </font>
      <fill>
        <patternFill>
          <bgColor theme="0"/>
        </patternFill>
      </fill>
      <border>
        <top style="thick">
          <color rgb="FF111799"/>
        </top>
      </border>
    </dxf>
    <dxf>
      <font>
        <b/>
        <i val="0"/>
        <color theme="0"/>
      </font>
      <fill>
        <patternFill>
          <bgColor rgb="FF113599"/>
        </patternFill>
      </fill>
      <border>
        <top/>
        <bottom style="medium">
          <color theme="0"/>
        </bottom>
      </border>
    </dxf>
    <dxf>
      <font>
        <color rgb="FF111799"/>
      </font>
    </dxf>
  </dxfs>
  <tableStyles count="2" defaultTableStyle="Padrão AEGEA 2 2" defaultPivotStyle="PivotStyleLight16">
    <tableStyle name="Aegea 2" pivot="0" count="5" xr9:uid="{9A76CA09-1AE1-4591-A39B-5F2D5B60A8BB}">
      <tableStyleElement type="wholeTable" dxfId="171"/>
      <tableStyleElement type="headerRow" dxfId="170"/>
      <tableStyleElement type="totalRow" dxfId="169"/>
      <tableStyleElement type="firstRowStripe" dxfId="168"/>
      <tableStyleElement type="secondRowStripe" dxfId="167"/>
    </tableStyle>
    <tableStyle name="Padrão AEGEA 2 2" pivot="0" count="5" xr9:uid="{C508377C-9C8A-40D4-B57B-93CED649F177}">
      <tableStyleElement type="wholeTable" dxfId="166"/>
      <tableStyleElement type="headerRow" dxfId="165"/>
      <tableStyleElement type="totalRow" dxfId="164"/>
      <tableStyleElement type="firstRowStripe" dxfId="163"/>
      <tableStyleElement type="secondRowStripe" dxfId="162"/>
    </tableStyle>
  </tableStyles>
  <colors>
    <mruColors>
      <color rgb="FF111799"/>
      <color rgb="FF676AF5"/>
      <color rgb="FF6699FF"/>
      <color rgb="FFA6C9EC"/>
      <color rgb="FF7C82F0"/>
      <color rgb="FF0066FF"/>
      <color rgb="FF113599"/>
      <color rgb="FFFCDD20"/>
      <color rgb="FFE7E7EF"/>
      <color rgb="FFCCCC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[PMO_R4.xlsx]Graficos_Tarefas!Tabela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Graficos_Tarefas!$B$1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Graficos_Tarefas!$A$2:$A$6</c:f>
              <c:strCache>
                <c:ptCount val="4"/>
                <c:pt idx="0">
                  <c:v>ATO</c:v>
                </c:pt>
                <c:pt idx="1">
                  <c:v>Documental</c:v>
                </c:pt>
                <c:pt idx="2">
                  <c:v>Gerencial</c:v>
                </c:pt>
                <c:pt idx="3">
                  <c:v>Projeto</c:v>
                </c:pt>
              </c:strCache>
            </c:strRef>
          </c:cat>
          <c:val>
            <c:numRef>
              <c:f>Graficos_Tarefas!$B$2:$B$6</c:f>
              <c:numCache>
                <c:formatCode>General</c:formatCode>
                <c:ptCount val="4"/>
                <c:pt idx="0">
                  <c:v>8</c:v>
                </c:pt>
                <c:pt idx="1">
                  <c:v>4</c:v>
                </c:pt>
                <c:pt idx="2">
                  <c:v>5</c:v>
                </c:pt>
                <c:pt idx="3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A-45E0-8039-6A725F2C4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028512"/>
        <c:axId val="1608032832"/>
      </c:barChart>
      <c:catAx>
        <c:axId val="160802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8032832"/>
        <c:crosses val="autoZero"/>
        <c:auto val="1"/>
        <c:lblAlgn val="ctr"/>
        <c:lblOffset val="100"/>
        <c:noMultiLvlLbl val="0"/>
      </c:catAx>
      <c:valAx>
        <c:axId val="160803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802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_xlchart.v1.2</cx:f>
      </cx:strDim>
      <cx:numDim type="val">
        <cx:f dir="row">_xlchart.v1.1</cx:f>
      </cx:numDim>
    </cx:data>
  </cx:chartData>
  <cx:chart>
    <cx:title pos="t" align="ctr" overlay="0"/>
    <cx:plotArea>
      <cx:plotAreaRegion>
        <cx:series layoutId="waterfall" uniqueId="{E48DEC28-6490-473C-A195-E35D23B1D0AC}" formatIdx="0">
          <cx:tx>
            <cx:txData>
              <cx:f>_xlchart.v1.0</cx:f>
              <cx:v>Total</cx:v>
            </cx:txData>
          </cx:tx>
          <cx:spPr>
            <a:ln w="3175">
              <a:solidFill>
                <a:schemeClr val="tx1"/>
              </a:solidFill>
            </a:ln>
          </cx:spPr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pt-BR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8"/>
            </cx:subtotals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800099</xdr:colOff>
      <xdr:row>0</xdr:row>
      <xdr:rowOff>142875</xdr:rowOff>
    </xdr:from>
    <xdr:to>
      <xdr:col>15</xdr:col>
      <xdr:colOff>561976</xdr:colOff>
      <xdr:row>22</xdr:row>
      <xdr:rowOff>161924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7CE7A1-FA76-1CE2-48B1-23BB40ED5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619125</xdr:colOff>
      <xdr:row>17</xdr:row>
      <xdr:rowOff>42862</xdr:rowOff>
    </xdr:from>
    <xdr:to>
      <xdr:col>7</xdr:col>
      <xdr:colOff>866775</xdr:colOff>
      <xdr:row>37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9B7E43D4-8237-BBBE-B6B1-67526EF680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125" y="3938587"/>
              <a:ext cx="8001000" cy="39004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elipe Nicolau Aranha" id="{BA2B435A-4CD4-48F0-8A0B-4AB3462B0793}" userId="S::felipe.aranha@aegea.com.br::cecc18ac-f9dc-46ac-97d2-a4c71499f974" providerId="AD"/>
  <person displayName="Mayara Rodrigues da Silveira" id="{5F1EBE5D-35DF-4BC5-A9C2-2F29CF621EE8}" userId="S::mayara.silveira@aegea.com.br::049e0efb-ef40-401a-b8d5-e64693614e5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Nicolau Aranha" refreshedDate="45988.684499189818" createdVersion="8" refreshedVersion="8" minRefreshableVersion="3" recordCount="119" xr:uid="{0FE8E35F-F4C7-44C7-B5E0-5193A5F426C2}">
  <cacheSource type="worksheet">
    <worksheetSource name="Tabela13"/>
  </cacheSource>
  <cacheFields count="10">
    <cacheField name="Contrato" numFmtId="0">
      <sharedItems count="29">
        <s v="CT 043/2025"/>
        <s v="CT 087/2025"/>
        <s v="CT 103/2025"/>
        <s v="CT 096/2025"/>
        <s v="CT 046/2025"/>
        <s v="CT 115/2025"/>
        <s v="CT 108/2025"/>
        <s v="CT 122/2024"/>
        <s v="CT 064/2023"/>
        <s v="CT 098/2024"/>
        <s v="CT 015/2023"/>
        <s v="CT 017/2025 "/>
        <s v="CT 040/2023 "/>
        <s v="CT 012/2024"/>
        <s v="CT 096/2022"/>
        <s v="CT 129/2024 "/>
        <s v="CT 102/2024"/>
        <s v="CT 002/2024"/>
        <s v="CT 106/2025"/>
        <s v="CT 147/2025"/>
        <s v="CT 051/2025"/>
        <s v="CT 063/2023"/>
        <s v="CT 108/2023"/>
        <s v="CT 035/2025"/>
        <s v="CT 096/2023"/>
        <s v="CT 104/2024"/>
        <s v="CT 097/2024"/>
        <s v="CT 037/2025"/>
        <s v="CT 080/2025"/>
      </sharedItems>
    </cacheField>
    <cacheField name="Projeto" numFmtId="0">
      <sharedItems/>
    </cacheField>
    <cacheField name="Gestor" numFmtId="0">
      <sharedItems count="5">
        <s v="Luan"/>
        <s v="Salvador"/>
        <s v="Aline"/>
        <s v="Beatriz"/>
        <s v="Roberth"/>
      </sharedItems>
    </cacheField>
    <cacheField name="Tipo da Tarefa" numFmtId="0">
      <sharedItems count="4">
        <s v="Documental"/>
        <s v="Projeto"/>
        <s v="Gerencial"/>
        <s v="ATO"/>
      </sharedItems>
    </cacheField>
    <cacheField name="Tarefa" numFmtId="0">
      <sharedItems/>
    </cacheField>
    <cacheField name="Responsável" numFmtId="0">
      <sharedItems count="38">
        <s v="ESSE/SETRAS"/>
        <s v="Luan"/>
        <s v="TPS"/>
        <s v="Mariana"/>
        <s v="Mário"/>
        <s v="NGA"/>
        <s v="ESSE"/>
        <s v="Ivan"/>
        <s v="CSIM"/>
        <s v="Salvador"/>
        <s v="AdR e AEGEA"/>
        <s v="Saneares"/>
        <s v="SDT"/>
        <s v="MCS"/>
        <s v="E-agua"/>
        <s v="Aline"/>
        <s v="Bruno/Fausto"/>
        <s v="Beatriz"/>
        <s v="-"/>
        <s v="Eduardo ( Cassano de Melo)"/>
        <s v="Beatriz/Silvana"/>
        <s v="Cism"/>
        <s v="Processos Aegea"/>
        <s v="Modelagem Aegea"/>
        <s v="Equipe Obras, operação e processos  "/>
        <s v="Equipe Obra/Operação"/>
        <s v="Hidrobr"/>
        <s v="Roberth"/>
        <s v="Processos"/>
        <s v="Caeiro"/>
        <s v="Operação"/>
        <s v="Automação"/>
        <s v="Marcello Carvalha / Bruno Callegario"/>
        <s v="Fausto"/>
        <s v="OBRAS"/>
        <s v="Modelagem"/>
        <s v="Equipe Projetos  Aegea"/>
        <s v="Equipe Processos  Aegea"/>
      </sharedItems>
    </cacheField>
    <cacheField name="Início" numFmtId="0">
      <sharedItems containsDate="1" containsBlank="1" containsMixedTypes="1" minDate="2015-11-13T00:00:00" maxDate="2025-12-30T00:00:00" count="38">
        <d v="2025-11-04T00:00:00"/>
        <d v="2025-11-05T00:00:00"/>
        <s v="-"/>
        <d v="2025-11-26T00:00:00"/>
        <d v="2025-11-17T00:00:00"/>
        <d v="2025-11-10T00:00:00"/>
        <d v="2025-11-11T00:00:00"/>
        <d v="2025-11-06T00:00:00"/>
        <d v="2025-10-15T00:00:00"/>
        <d v="2025-09-10T00:00:00"/>
        <d v="2025-10-30T00:00:00"/>
        <m/>
        <d v="2025-10-21T00:00:00"/>
        <d v="2025-11-12T00:00:00"/>
        <d v="2025-11-07T00:00:00"/>
        <d v="2025-10-19T00:00:00"/>
        <d v="2015-11-13T00:00:00"/>
        <d v="2025-10-31T00:00:00"/>
        <s v="XX/11/25"/>
        <s v="XX/11/25 +5 dias"/>
        <d v="2025-11-08T00:00:00"/>
        <d v="2025-11-14T00:00:00"/>
        <d v="2025-10-29T00:00:00"/>
        <d v="2025-11-18T00:00:00"/>
        <d v="2025-10-23T00:00:00"/>
        <d v="2025-10-22T00:00:00"/>
        <s v="24/11/256"/>
        <d v="2025-12-29T00:00:00"/>
        <d v="2025-11-28T00:00:00"/>
        <d v="2025-10-13T00:00:00"/>
        <d v="2025-11-03T00:00:00"/>
        <d v="2025-11-19T00:00:00"/>
        <d v="2025-10-20T00:00:00"/>
        <d v="2025-10-28T00:00:00"/>
        <d v="2025-09-02T00:00:00"/>
        <d v="2025-11-21T00:00:00"/>
        <d v="2025-11-25T00:00:00"/>
        <d v="2025-09-30T00:00:00"/>
      </sharedItems>
    </cacheField>
    <cacheField name="Prazo" numFmtId="0">
      <sharedItems containsDate="1" containsBlank="1" containsMixedTypes="1" minDate="2025-01-17T00:00:00" maxDate="2026-02-10T00:00:00" count="36">
        <d v="2025-11-10T00:00:00"/>
        <d v="2025-11-12T00:00:00"/>
        <d v="2025-11-21T00:00:00"/>
        <d v="2025-11-28T00:00:00"/>
        <d v="2025-11-14T00:00:00"/>
        <d v="2025-12-05T00:00:00"/>
        <d v="2025-11-05T00:00:00"/>
        <d v="2025-11-11T00:00:00"/>
        <d v="2025-11-25T00:00:00"/>
        <d v="2025-11-15T00:00:00"/>
        <d v="2025-10-30T00:00:00"/>
        <d v="2025-12-15T00:00:00"/>
        <d v="2025-12-10T00:00:00"/>
        <m/>
        <s v="-"/>
        <d v="2025-11-13T00:00:00"/>
        <s v="XX/11/25 +5 dias"/>
        <s v="XX/11/25 +6 dias"/>
        <d v="2025-11-17T00:00:00"/>
        <d v="2025-11-18T00:00:00"/>
        <d v="2025-11-26T00:00:00"/>
        <d v="2025-11-20T00:00:00"/>
        <d v="2025-11-27T00:00:00"/>
        <d v="2025-12-27T00:00:00"/>
        <d v="2025-01-17T00:00:00"/>
        <s v="14/11/20255"/>
        <d v="2025-10-31T00:00:00"/>
        <s v="12/11/20255"/>
        <d v="2026-02-09T00:00:00"/>
        <d v="2026-01-26T00:00:00"/>
        <d v="2025-12-01T00:00:00"/>
        <d v="2025-11-07T00:00:00"/>
        <d v="2025-11-24T00:00:00"/>
        <d v="2025-10-29T00:00:00"/>
        <d v="2025-12-02T00:00:00"/>
        <s v="Sem Prazo"/>
      </sharedItems>
    </cacheField>
    <cacheField name="Status" numFmtId="0">
      <sharedItems count="5">
        <s v="Concluído"/>
        <s v="Em Progresso"/>
        <s v="Atrasado"/>
        <s v="Pausado"/>
        <s v="Em Risco"/>
      </sharedItems>
    </cacheField>
    <cacheField name="Comentários/Atualizações" numFmtId="164">
      <sharedItems containsBlank="1" count="43">
        <s v="Demora na validação da documentação por parte do SETRAS"/>
        <s v="Aguardando envio da cadência atualizada pelo time de planejamento"/>
        <m/>
        <s v="Necessário ajuste no projeto alterando a localização da EE Valão da Marinha. A EE ficará localizada no terreno da marinha e a CTS no arruamento."/>
        <s v="O atraso se deve a alteração do formato de entrega que passou a ser via SDX."/>
        <s v="Necessário validação ETEs compactas e Sistemas Isolados"/>
        <s v="Necessário validação da área de projeto"/>
        <s v="Arthur esta revisando todos os comentários para realizar a entrega dia 15/11/25."/>
        <s v="Agendar reunião com os envolvidos para validação."/>
        <s v="Verificação das peças gráficas e agendamento de reunião com a CISM para entender algumas questões conceituais de estrutura."/>
        <s v="Alternativa de projeto escolhida"/>
        <s v="Aguardando entrega."/>
        <s v="Aguardando Revisão da Proposta "/>
        <s v="Informação solicitada para análise de Pleito de Aditivo "/>
        <s v="Encerramento definitivo do Projeto "/>
        <s v="Os projetos PC foram encaminhados pelo SDX. Mas enviamos também depois por e-mail."/>
        <s v="A pedido da gerência de Obras da Leste, antecipamos a entrega dos projetos PC e assinados. Por esse motivo a reunião de handover foi realizada após a entrega dos projetos."/>
        <s v="Em 10/11 a projetista informou que só conseguiria fazer a revisão em 14/11. Em 11/11 pedimos uma maior celeridade na entrega"/>
        <s v="Sem data de retorno da entrega do arquivo pela projetista. No dia que recebermos, marcaremos a reunião de Handover. Calculando em até 5 dias devido a agenda de todos gestores"/>
        <s v="Adicionar os comentários e atualizações"/>
        <s v="-"/>
        <s v="Após o recebimentos dos projetos elétricos pela Saneares, será analisado pela equipe de projetos. Estando tudo ok, mandaremos o pacote status PC e assinados até 18/11/2025 e com isso finalizando o projeto. "/>
        <s v="Após recebimento, gestora do projeto analisará a apresentação. A nova previsão de entrega é dia 13/11/2025"/>
        <s v="Após o recebimentos dos projetos PC, serão analisados pela equipe de projetos. A nova data prevista é dia 14/11/25. Estando tudo ok, mandaremos o pacote status PC e assinados até 18/11/2025 e com isso finalizando o projeto. "/>
        <s v="Depois de recebidos os E.H, Aegea terá até 10 dias de análise( data aprovação dia 26/11/25). Os projetos Hidr. Data aprovação dia 26/11/25 e as E.T data aprovação Aegea 11/12/25"/>
        <s v="Prazo inicial: 17/10/2025_x000a_26 dias de atraso"/>
        <s v="19 dias de atraso"/>
        <s v="12 dias de atraso"/>
        <s v="1 dia de atraso"/>
        <s v="14 dias de atraso"/>
        <s v="Essa necessidade foi apresentada na reunião gerencial entre Projeto e Processos, não está registrada/oficializada."/>
        <s v="Essa necessidade foi apresentada na reunião gerencial entre Projeto e Processos, não está registrada/oficializada._x000a_1 dia de atraso"/>
        <s v="CISM está cobrando a reunião entre equipes, CISM e Aegea, conforme orientado durante a visita da CISM no escritório na semana do dia 03/11/25. Necessário destrato para evitar reunião"/>
        <s v="Foi elaborado um esboço do TR e compartilhado com algumas empresas no mercado, com prazo de devolutiva das propostas em 14/11. Algumas empresas pediram mais prazo."/>
        <s v="Decidido que não seguiríamos com a consulta"/>
        <s v="Aguardando envio das excentricidades das estacas"/>
        <s v="5 dias de atraso"/>
        <s v="4 dias de atraso"/>
        <s v="Aguardando retorno da CISM"/>
        <s v="Demanda que chegou para a CISM em visita técnica."/>
        <s v="Aguardando memoria de calculo do fornecedor do reservatório."/>
        <s v="Aguardando definição se vamos prever o digestor em segunda etapa."/>
        <s v="12 dias de atraso  //  Material reprovad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x v="0"/>
    <s v="Cinturões (TPS)"/>
    <x v="0"/>
    <x v="0"/>
    <s v="Finalização do processo no SETRAS"/>
    <x v="0"/>
    <x v="0"/>
    <x v="0"/>
    <x v="0"/>
    <x v="0"/>
  </r>
  <r>
    <x v="0"/>
    <s v="Cinturões (TPS)"/>
    <x v="0"/>
    <x v="1"/>
    <s v="Finalização do estudo de vazão"/>
    <x v="1"/>
    <x v="1"/>
    <x v="1"/>
    <x v="0"/>
    <x v="1"/>
  </r>
  <r>
    <x v="0"/>
    <s v="Cinturões (TPS)"/>
    <x v="0"/>
    <x v="1"/>
    <s v="Receber projeto executivo Rio Salgado"/>
    <x v="2"/>
    <x v="2"/>
    <x v="2"/>
    <x v="1"/>
    <x v="2"/>
  </r>
  <r>
    <x v="0"/>
    <s v="Cinturões (TPS)"/>
    <x v="0"/>
    <x v="1"/>
    <s v="Receber projeto executivo cinturões"/>
    <x v="2"/>
    <x v="2"/>
    <x v="3"/>
    <x v="1"/>
    <x v="2"/>
  </r>
  <r>
    <x v="0"/>
    <s v="Cinturões (TPS)"/>
    <x v="0"/>
    <x v="1"/>
    <s v="Receber projeto executivo Valão da Marinha (Revisado)"/>
    <x v="2"/>
    <x v="2"/>
    <x v="3"/>
    <x v="1"/>
    <x v="3"/>
  </r>
  <r>
    <x v="0"/>
    <s v="Cinturões (TPS)"/>
    <x v="0"/>
    <x v="2"/>
    <s v="Aditivo Lote São João, Porto da Barra e Mossoró"/>
    <x v="3"/>
    <x v="3"/>
    <x v="3"/>
    <x v="1"/>
    <x v="2"/>
  </r>
  <r>
    <x v="1"/>
    <s v="Fazenda Lagoa (TPS)"/>
    <x v="0"/>
    <x v="0"/>
    <s v="Finalização do processo no SETRAS"/>
    <x v="0"/>
    <x v="0"/>
    <x v="0"/>
    <x v="0"/>
    <x v="0"/>
  </r>
  <r>
    <x v="1"/>
    <s v="Fazenda Lagoa (TPS)"/>
    <x v="0"/>
    <x v="1"/>
    <s v="Finalização do estudo de vazão"/>
    <x v="1"/>
    <x v="1"/>
    <x v="1"/>
    <x v="0"/>
    <x v="1"/>
  </r>
  <r>
    <x v="1"/>
    <s v="Fazenda Lagoa (TPS)"/>
    <x v="0"/>
    <x v="2"/>
    <s v="Solicitar aditivo contratual"/>
    <x v="1"/>
    <x v="2"/>
    <x v="0"/>
    <x v="0"/>
    <x v="2"/>
  </r>
  <r>
    <x v="1"/>
    <s v="Fazenda Lagoa (TPS)"/>
    <x v="0"/>
    <x v="1"/>
    <s v="Receber versão final do projeto executivo"/>
    <x v="2"/>
    <x v="2"/>
    <x v="2"/>
    <x v="2"/>
    <x v="4"/>
  </r>
  <r>
    <x v="2"/>
    <s v="CTS Novos pontos (HIDROCON)"/>
    <x v="0"/>
    <x v="1"/>
    <s v="Receber atualização do projeto Hidráulico de Nilópolis"/>
    <x v="4"/>
    <x v="2"/>
    <x v="4"/>
    <x v="0"/>
    <x v="2"/>
  </r>
  <r>
    <x v="2"/>
    <s v="CTS Novos pontos (HIDROCON)"/>
    <x v="0"/>
    <x v="1"/>
    <s v="Avaliar 2º entrega de Nilópolis "/>
    <x v="1"/>
    <x v="4"/>
    <x v="2"/>
    <x v="0"/>
    <x v="2"/>
  </r>
  <r>
    <x v="2"/>
    <s v="CTS Novos pontos (HIDROCON)"/>
    <x v="0"/>
    <x v="1"/>
    <s v="Avaliar entrega da concepção de Mesquita"/>
    <x v="1"/>
    <x v="5"/>
    <x v="4"/>
    <x v="0"/>
    <x v="2"/>
  </r>
  <r>
    <x v="3"/>
    <s v="CTS SA, TA e ME (NGA)"/>
    <x v="0"/>
    <x v="1"/>
    <s v="Validação do Plano de Topografia"/>
    <x v="1"/>
    <x v="5"/>
    <x v="4"/>
    <x v="0"/>
    <x v="2"/>
  </r>
  <r>
    <x v="3"/>
    <s v="CTS SA, TA e ME (NGA)"/>
    <x v="0"/>
    <x v="1"/>
    <s v="Envio dos estudos de Magé"/>
    <x v="1"/>
    <x v="6"/>
    <x v="4"/>
    <x v="0"/>
    <x v="2"/>
  </r>
  <r>
    <x v="3"/>
    <s v="CTS SA, TA e ME (NGA)"/>
    <x v="0"/>
    <x v="1"/>
    <s v="Recebimento da topografia e concepção prévia"/>
    <x v="5"/>
    <x v="2"/>
    <x v="5"/>
    <x v="1"/>
    <x v="2"/>
  </r>
  <r>
    <x v="4"/>
    <s v="SES Miracema (ESSE)"/>
    <x v="0"/>
    <x v="0"/>
    <s v="Finalização do processo no SETRAS"/>
    <x v="0"/>
    <x v="0"/>
    <x v="0"/>
    <x v="0"/>
    <x v="0"/>
  </r>
  <r>
    <x v="4"/>
    <s v="SES Miracema (ESSE)"/>
    <x v="0"/>
    <x v="1"/>
    <s v="Finalização do estudo de vazão"/>
    <x v="1"/>
    <x v="1"/>
    <x v="1"/>
    <x v="0"/>
    <x v="1"/>
  </r>
  <r>
    <x v="4"/>
    <s v="SES Miracema (ESSE)"/>
    <x v="0"/>
    <x v="1"/>
    <s v="Validação da topografia no SDX"/>
    <x v="1"/>
    <x v="3"/>
    <x v="3"/>
    <x v="1"/>
    <x v="2"/>
  </r>
  <r>
    <x v="4"/>
    <s v="SES Miracema (ESSE)"/>
    <x v="0"/>
    <x v="1"/>
    <s v="Recebimento da primeira prévia de concepção"/>
    <x v="6"/>
    <x v="2"/>
    <x v="6"/>
    <x v="1"/>
    <x v="2"/>
  </r>
  <r>
    <x v="5"/>
    <s v="SES Duas Barras (TPS)"/>
    <x v="0"/>
    <x v="1"/>
    <s v="Realização da reunião de kick off"/>
    <x v="1"/>
    <x v="2"/>
    <x v="7"/>
    <x v="0"/>
    <x v="2"/>
  </r>
  <r>
    <x v="5"/>
    <s v="SES Duas Barras (TPS)"/>
    <x v="0"/>
    <x v="1"/>
    <s v="Reunião alinhamento processos"/>
    <x v="1"/>
    <x v="2"/>
    <x v="2"/>
    <x v="1"/>
    <x v="5"/>
  </r>
  <r>
    <x v="5"/>
    <s v="SES Duas Barras (TPS)"/>
    <x v="0"/>
    <x v="1"/>
    <s v="Estudo de vazão"/>
    <x v="1"/>
    <x v="2"/>
    <x v="8"/>
    <x v="3"/>
    <x v="6"/>
  </r>
  <r>
    <x v="5"/>
    <s v="SES Duas Barras (TPS)"/>
    <x v="0"/>
    <x v="1"/>
    <s v="Recebimento da topografia"/>
    <x v="2"/>
    <x v="2"/>
    <x v="6"/>
    <x v="1"/>
    <x v="2"/>
  </r>
  <r>
    <x v="5"/>
    <s v="SES Duas Barras (TPS)"/>
    <x v="0"/>
    <x v="1"/>
    <s v="Envio do estudo demográfico"/>
    <x v="1"/>
    <x v="2"/>
    <x v="4"/>
    <x v="1"/>
    <x v="2"/>
  </r>
  <r>
    <x v="5"/>
    <s v="SES Duas Barras (TPS)"/>
    <x v="0"/>
    <x v="0"/>
    <s v="Abertura do SERTRAS"/>
    <x v="7"/>
    <x v="7"/>
    <x v="4"/>
    <x v="0"/>
    <x v="2"/>
  </r>
  <r>
    <x v="5"/>
    <s v="SES Duas Barras (TPS)"/>
    <x v="0"/>
    <x v="1"/>
    <s v="Envio do Plano Diretor"/>
    <x v="1"/>
    <x v="2"/>
    <x v="4"/>
    <x v="0"/>
    <x v="2"/>
  </r>
  <r>
    <x v="6"/>
    <s v="ETE SÃO GONÇALO (CISM)"/>
    <x v="1"/>
    <x v="1"/>
    <s v="Revisão dos projetos"/>
    <x v="8"/>
    <x v="8"/>
    <x v="0"/>
    <x v="2"/>
    <x v="7"/>
  </r>
  <r>
    <x v="6"/>
    <s v="ETE SÃO GONÇALO (CISM)"/>
    <x v="1"/>
    <x v="1"/>
    <s v="Subestação"/>
    <x v="9"/>
    <x v="1"/>
    <x v="9"/>
    <x v="1"/>
    <x v="8"/>
  </r>
  <r>
    <x v="6"/>
    <s v="SES Bandeirantes e ETE Bandeirantes"/>
    <x v="1"/>
    <x v="1"/>
    <s v="Revisar projeto estrutural e geotécnico"/>
    <x v="9"/>
    <x v="8"/>
    <x v="0"/>
    <x v="2"/>
    <x v="9"/>
  </r>
  <r>
    <x v="6"/>
    <s v="SAA Tanguá (CISM)"/>
    <x v="1"/>
    <x v="1"/>
    <s v="Avaliar entrega da dos projetos de ETA Tanguá"/>
    <x v="9"/>
    <x v="8"/>
    <x v="4"/>
    <x v="1"/>
    <x v="2"/>
  </r>
  <r>
    <x v="7"/>
    <s v="ETA Porto das Caixas (SANEARES)"/>
    <x v="1"/>
    <x v="1"/>
    <s v="Escolha da alternativa ETL"/>
    <x v="10"/>
    <x v="9"/>
    <x v="10"/>
    <x v="0"/>
    <x v="10"/>
  </r>
  <r>
    <x v="7"/>
    <s v="ETA Porto das Caixas (SANEARES)"/>
    <x v="1"/>
    <x v="1"/>
    <s v="Entrega do projeto hidráulico"/>
    <x v="11"/>
    <x v="10"/>
    <x v="4"/>
    <x v="1"/>
    <x v="11"/>
  </r>
  <r>
    <x v="8"/>
    <s v="ETE Penha (SDT)"/>
    <x v="2"/>
    <x v="1"/>
    <s v="Projeto Elétrico Revisado"/>
    <x v="12"/>
    <x v="5"/>
    <x v="11"/>
    <x v="1"/>
    <x v="2"/>
  </r>
  <r>
    <x v="8"/>
    <s v="ETE Penha (SDT)"/>
    <x v="2"/>
    <x v="1"/>
    <s v="Projeto Hidráulico Revisado"/>
    <x v="12"/>
    <x v="5"/>
    <x v="11"/>
    <x v="1"/>
    <x v="2"/>
  </r>
  <r>
    <x v="8"/>
    <s v="ETE Penha (SDT)"/>
    <x v="2"/>
    <x v="1"/>
    <s v="Projeto Automação Revisado"/>
    <x v="12"/>
    <x v="5"/>
    <x v="11"/>
    <x v="1"/>
    <x v="2"/>
  </r>
  <r>
    <x v="9"/>
    <s v="SES Pavuna (E-agua)"/>
    <x v="2"/>
    <x v="1"/>
    <s v="Execução da Sondagem"/>
    <x v="13"/>
    <x v="4"/>
    <x v="2"/>
    <x v="1"/>
    <x v="12"/>
  </r>
  <r>
    <x v="9"/>
    <s v="SES Pavuna (E-agua)"/>
    <x v="2"/>
    <x v="1"/>
    <s v="Validação do Cadastro – Rede Existente"/>
    <x v="14"/>
    <x v="9"/>
    <x v="3"/>
    <x v="1"/>
    <x v="13"/>
  </r>
  <r>
    <x v="9"/>
    <s v="SES Pavuna (E-agua)"/>
    <x v="2"/>
    <x v="1"/>
    <s v="Adequação de Projeto EE Padrão AEGEA"/>
    <x v="14"/>
    <x v="5"/>
    <x v="12"/>
    <x v="1"/>
    <x v="2"/>
  </r>
  <r>
    <x v="9"/>
    <s v="SES Pavuna (E-agua)"/>
    <x v="2"/>
    <x v="2"/>
    <s v="Aditivo para Adequação de Projeto EE Padrão AEGEA"/>
    <x v="15"/>
    <x v="5"/>
    <x v="4"/>
    <x v="1"/>
    <x v="2"/>
  </r>
  <r>
    <x v="10"/>
    <s v="ETE Arraial do Cabo (Saneares)"/>
    <x v="2"/>
    <x v="1"/>
    <s v="Ajustes no Estudo de Viabilidade "/>
    <x v="16"/>
    <x v="11"/>
    <x v="13"/>
    <x v="1"/>
    <x v="2"/>
  </r>
  <r>
    <x v="3"/>
    <s v="UT’s Magé e Rio (Saneares)"/>
    <x v="2"/>
    <x v="1"/>
    <s v="Projeto Elétrico Revisado"/>
    <x v="11"/>
    <x v="5"/>
    <x v="3"/>
    <x v="1"/>
    <x v="2"/>
  </r>
  <r>
    <x v="3"/>
    <s v="UT’s Magé e Rio (Saneares)"/>
    <x v="2"/>
    <x v="1"/>
    <s v="Projeto Automação Revisado"/>
    <x v="11"/>
    <x v="5"/>
    <x v="3"/>
    <x v="1"/>
    <x v="2"/>
  </r>
  <r>
    <x v="11"/>
    <s v="Remanejamento de Adutora AAT em Cachoeiras de Macacu"/>
    <x v="3"/>
    <x v="1"/>
    <s v="Encaminhado o arquivo da apresentação Handover e ATA da reunião"/>
    <x v="17"/>
    <x v="12"/>
    <x v="14"/>
    <x v="0"/>
    <x v="14"/>
  </r>
  <r>
    <x v="11"/>
    <s v="Remanejamento de Adutora AAT em Cachoeiras de Macacu"/>
    <x v="3"/>
    <x v="1"/>
    <s v="Entrega realizada dos Projetos PC e assinados aos gestores"/>
    <x v="17"/>
    <x v="13"/>
    <x v="14"/>
    <x v="0"/>
    <x v="15"/>
  </r>
  <r>
    <x v="12"/>
    <s v="Abastecimento de Água em São José do Imbassaí"/>
    <x v="3"/>
    <x v="1"/>
    <s v="Encaminhado o arquivo da apresentação Handover e ATA da reunião"/>
    <x v="17"/>
    <x v="14"/>
    <x v="1"/>
    <x v="0"/>
    <x v="14"/>
  </r>
  <r>
    <x v="12"/>
    <s v="Abastecimento de Água em São José do Imbassaí"/>
    <x v="3"/>
    <x v="1"/>
    <s v="Entrega realizada dos Projetos PC e assinados aos gestores"/>
    <x v="17"/>
    <x v="15"/>
    <x v="14"/>
    <x v="0"/>
    <x v="16"/>
  </r>
  <r>
    <x v="13"/>
    <s v=" SES IPITUNA"/>
    <x v="3"/>
    <x v="1"/>
    <s v="Enviar os projetos PC e assinados aos gestores"/>
    <x v="17"/>
    <x v="13"/>
    <x v="15"/>
    <x v="0"/>
    <x v="17"/>
  </r>
  <r>
    <x v="13"/>
    <s v=" SES IPITUNA"/>
    <x v="3"/>
    <x v="1"/>
    <s v="Finalização do Projeto"/>
    <x v="18"/>
    <x v="16"/>
    <x v="14"/>
    <x v="0"/>
    <x v="2"/>
  </r>
  <r>
    <x v="14"/>
    <s v="Elaboração/Verificação de Proj. de Estruturas e Fundações"/>
    <x v="3"/>
    <x v="1"/>
    <s v="Aguardar recebimento da apresentação revisada por projetos"/>
    <x v="19"/>
    <x v="17"/>
    <x v="6"/>
    <x v="0"/>
    <x v="17"/>
  </r>
  <r>
    <x v="14"/>
    <s v="Elaboração/Verificação de Proj. de Estruturas e Fundações"/>
    <x v="3"/>
    <x v="1"/>
    <s v="Reagendar apresentação de  Handover"/>
    <x v="20"/>
    <x v="18"/>
    <x v="16"/>
    <x v="0"/>
    <x v="18"/>
  </r>
  <r>
    <x v="14"/>
    <s v="Elaboração/Verificação de Proj. de Estruturas e Fundações"/>
    <x v="3"/>
    <x v="1"/>
    <s v="Entrega dos Projetos PC e assinados aos gestores"/>
    <x v="17"/>
    <x v="19"/>
    <x v="17"/>
    <x v="0"/>
    <x v="19"/>
  </r>
  <r>
    <x v="15"/>
    <s v="ETA Parque império"/>
    <x v="3"/>
    <x v="1"/>
    <s v="Aguardar recebimento da apresentação e ser revisada por projetos"/>
    <x v="11"/>
    <x v="20"/>
    <x v="15"/>
    <x v="0"/>
    <x v="20"/>
  </r>
  <r>
    <x v="15"/>
    <s v="ETA Parque império"/>
    <x v="3"/>
    <x v="1"/>
    <s v="Agendada  reunião de apresentação Handover"/>
    <x v="11"/>
    <x v="4"/>
    <x v="18"/>
    <x v="0"/>
    <x v="20"/>
  </r>
  <r>
    <x v="15"/>
    <s v="ETA Parque império"/>
    <x v="3"/>
    <x v="1"/>
    <s v="Entrega dos Projetos PC e assinados aos gestores após aprovação dos projetos elétricos"/>
    <x v="11"/>
    <x v="21"/>
    <x v="19"/>
    <x v="0"/>
    <x v="21"/>
  </r>
  <r>
    <x v="15"/>
    <s v="Ampliação ETA Manilha"/>
    <x v="3"/>
    <x v="1"/>
    <s v="Aguardar recebimento da apresentação e ser revisada por projetos"/>
    <x v="21"/>
    <x v="22"/>
    <x v="15"/>
    <x v="0"/>
    <x v="22"/>
  </r>
  <r>
    <x v="15"/>
    <s v="Ampliação ETA Manilha"/>
    <x v="3"/>
    <x v="1"/>
    <s v="Agendada  reunião de apresentação Handover"/>
    <x v="21"/>
    <x v="4"/>
    <x v="18"/>
    <x v="0"/>
    <x v="20"/>
  </r>
  <r>
    <x v="15"/>
    <s v="Ampliação ETA Manilha"/>
    <x v="3"/>
    <x v="1"/>
    <s v="Entrega dos Projetos PC e assinados aos gestores após aprovação dos projetos elétricos"/>
    <x v="21"/>
    <x v="22"/>
    <x v="4"/>
    <x v="0"/>
    <x v="23"/>
  </r>
  <r>
    <x v="16"/>
    <s v="SES Aperibé "/>
    <x v="3"/>
    <x v="1"/>
    <s v="Aguardar recebimento dos comentários da equipe de processos "/>
    <x v="22"/>
    <x v="6"/>
    <x v="20"/>
    <x v="2"/>
    <x v="20"/>
  </r>
  <r>
    <x v="16"/>
    <s v="SES Aperibé "/>
    <x v="3"/>
    <x v="1"/>
    <s v="Aguardar recebimento dos comentários da equipe de modelagem"/>
    <x v="23"/>
    <x v="6"/>
    <x v="21"/>
    <x v="0"/>
    <x v="20"/>
  </r>
  <r>
    <x v="16"/>
    <s v="SES Aperibé "/>
    <x v="3"/>
    <x v="1"/>
    <s v="Aguardar análise dos projetos executivos: tratamento preliminar; Tanque de aeração, UASB, Leitos Secagem, Tanques de Cloreto Férrico e de Polímero"/>
    <x v="24"/>
    <x v="23"/>
    <x v="3"/>
    <x v="1"/>
    <x v="20"/>
  </r>
  <r>
    <x v="16"/>
    <s v="SES Aperibé "/>
    <x v="3"/>
    <x v="1"/>
    <s v="Projeto Executivo - Modelagem da Rede (Revisão)"/>
    <x v="11"/>
    <x v="21"/>
    <x v="22"/>
    <x v="1"/>
    <x v="2"/>
  </r>
  <r>
    <x v="16"/>
    <s v="SES Aperibé "/>
    <x v="3"/>
    <x v="1"/>
    <s v="Projeto Executivo - Hidraulico ETE"/>
    <x v="11"/>
    <x v="21"/>
    <x v="3"/>
    <x v="1"/>
    <x v="2"/>
  </r>
  <r>
    <x v="16"/>
    <s v="SES Aperibé "/>
    <x v="3"/>
    <x v="1"/>
    <s v="Projeto Executivo - Estrutural ETE"/>
    <x v="11"/>
    <x v="21"/>
    <x v="23"/>
    <x v="1"/>
    <x v="2"/>
  </r>
  <r>
    <x v="16"/>
    <s v="SES Aperibé "/>
    <x v="3"/>
    <x v="1"/>
    <s v="Projeto Executivo - Elétrico ETE"/>
    <x v="11"/>
    <x v="21"/>
    <x v="23"/>
    <x v="1"/>
    <x v="2"/>
  </r>
  <r>
    <x v="16"/>
    <s v="SES Aperibé "/>
    <x v="3"/>
    <x v="1"/>
    <s v="Projeto Executivo - Orçamento"/>
    <x v="11"/>
    <x v="21"/>
    <x v="24"/>
    <x v="1"/>
    <x v="2"/>
  </r>
  <r>
    <x v="16"/>
    <s v="SES Aperibé "/>
    <x v="3"/>
    <x v="1"/>
    <s v="Entrega dos Estudos Hidrológicos das Travessias"/>
    <x v="11"/>
    <x v="21"/>
    <x v="25"/>
    <x v="0"/>
    <x v="24"/>
  </r>
  <r>
    <x v="16"/>
    <s v="SES Aperibé "/>
    <x v="3"/>
    <x v="1"/>
    <s v="Entrega do projeto Hidráulico da ETE de algumas unidades citadas acima e Esp. Técnicas de todos os equipamentos da ETE"/>
    <x v="11"/>
    <x v="21"/>
    <x v="25"/>
    <x v="0"/>
    <x v="24"/>
  </r>
  <r>
    <x v="17"/>
    <s v="SES e SAA Saquarema"/>
    <x v="3"/>
    <x v="1"/>
    <s v="Aguardar recebimento dos comentários da equipe de modelagem sobre os Transientes e MH da ATT"/>
    <x v="23"/>
    <x v="24"/>
    <x v="4"/>
    <x v="2"/>
    <x v="2"/>
  </r>
  <r>
    <x v="17"/>
    <s v="SES e SAA Saquarema"/>
    <x v="3"/>
    <x v="1"/>
    <s v="Aguardar recebimento dos comentários dos gestores sobre os projetos de RCE, Perfil hidráulico, interceptores e EEE"/>
    <x v="25"/>
    <x v="25"/>
    <x v="26"/>
    <x v="2"/>
    <x v="2"/>
  </r>
  <r>
    <x v="17"/>
    <s v="SES e SAA Saquarema"/>
    <x v="3"/>
    <x v="1"/>
    <s v="Aguardar recebimento dos comentários da modelagem das redes e modelos e MD SES"/>
    <x v="23"/>
    <x v="24"/>
    <x v="27"/>
    <x v="4"/>
    <x v="2"/>
  </r>
  <r>
    <x v="17"/>
    <s v="SES e SAA Saquarema"/>
    <x v="3"/>
    <x v="1"/>
    <s v="Projeto Captação"/>
    <x v="26"/>
    <x v="26"/>
    <x v="28"/>
    <x v="1"/>
    <x v="2"/>
  </r>
  <r>
    <x v="17"/>
    <s v="SES e SAA Saquarema"/>
    <x v="3"/>
    <x v="1"/>
    <s v="Projeto Adutora"/>
    <x v="26"/>
    <x v="21"/>
    <x v="3"/>
    <x v="1"/>
    <x v="2"/>
  </r>
  <r>
    <x v="17"/>
    <s v="SES e SAA Saquarema"/>
    <x v="3"/>
    <x v="1"/>
    <s v="Projeto Travessia"/>
    <x v="26"/>
    <x v="27"/>
    <x v="29"/>
    <x v="1"/>
    <x v="2"/>
  </r>
  <r>
    <x v="17"/>
    <s v="SES e SAA Saquarema"/>
    <x v="3"/>
    <x v="1"/>
    <s v="Projeto Reservatório"/>
    <x v="26"/>
    <x v="28"/>
    <x v="30"/>
    <x v="1"/>
    <x v="2"/>
  </r>
  <r>
    <x v="18"/>
    <s v="CTS - Etapa 2"/>
    <x v="4"/>
    <x v="1"/>
    <s v="Validação"/>
    <x v="27"/>
    <x v="7"/>
    <x v="14"/>
    <x v="2"/>
    <x v="20"/>
  </r>
  <r>
    <x v="2"/>
    <s v="CTS - Etapa 2"/>
    <x v="4"/>
    <x v="1"/>
    <s v="Validação dos Pontos"/>
    <x v="27"/>
    <x v="7"/>
    <x v="14"/>
    <x v="2"/>
    <x v="20"/>
  </r>
  <r>
    <x v="2"/>
    <s v="CTS - Etapa 2"/>
    <x v="4"/>
    <x v="1"/>
    <s v="Encaminhar os Pontos"/>
    <x v="27"/>
    <x v="2"/>
    <x v="14"/>
    <x v="0"/>
    <x v="20"/>
  </r>
  <r>
    <x v="19"/>
    <s v="ETIG"/>
    <x v="4"/>
    <x v="1"/>
    <s v="Avaliação do Projeto Hidráulico do Prédio de Lodo"/>
    <x v="28"/>
    <x v="29"/>
    <x v="1"/>
    <x v="0"/>
    <x v="25"/>
  </r>
  <r>
    <x v="19"/>
    <s v="ETIG"/>
    <x v="4"/>
    <x v="1"/>
    <s v="Avaliação do Projeto Urbanístico"/>
    <x v="28"/>
    <x v="30"/>
    <x v="31"/>
    <x v="2"/>
    <x v="26"/>
  </r>
  <r>
    <x v="19"/>
    <s v="ETIG"/>
    <x v="4"/>
    <x v="1"/>
    <s v="Avaliação do Projeto Hidráulico do Prédio dos Sopradores"/>
    <x v="28"/>
    <x v="30"/>
    <x v="31"/>
    <x v="2"/>
    <x v="26"/>
  </r>
  <r>
    <x v="19"/>
    <s v="ETIG"/>
    <x v="4"/>
    <x v="1"/>
    <s v="Avaliação do Projeto Arquitetônico da Cabine de Entrada e Medição"/>
    <x v="29"/>
    <x v="5"/>
    <x v="4"/>
    <x v="2"/>
    <x v="27"/>
  </r>
  <r>
    <x v="19"/>
    <s v="ETIG"/>
    <x v="4"/>
    <x v="1"/>
    <s v="Projeto de Sinalização"/>
    <x v="30"/>
    <x v="5"/>
    <x v="4"/>
    <x v="2"/>
    <x v="27"/>
  </r>
  <r>
    <x v="19"/>
    <s v="ETIG"/>
    <x v="4"/>
    <x v="1"/>
    <s v="Premissas de Automação"/>
    <x v="31"/>
    <x v="13"/>
    <x v="19"/>
    <x v="0"/>
    <x v="20"/>
  </r>
  <r>
    <x v="19"/>
    <s v="ETIG"/>
    <x v="4"/>
    <x v="1"/>
    <s v="Projeto Automação -  Preliminar / Dec. Primário / Adensadores / EE Lodo"/>
    <x v="31"/>
    <x v="31"/>
    <x v="20"/>
    <x v="1"/>
    <x v="20"/>
  </r>
  <r>
    <x v="19"/>
    <s v="ETIG"/>
    <x v="4"/>
    <x v="1"/>
    <s v="Projeto Elétrico -  Preliminar / Dec. Primário / Adensadores / EE Lodo"/>
    <x v="29"/>
    <x v="31"/>
    <x v="20"/>
    <x v="1"/>
    <x v="20"/>
  </r>
  <r>
    <x v="19"/>
    <s v="ETIG"/>
    <x v="4"/>
    <x v="1"/>
    <s v="Projeto do Canteiro de Obras"/>
    <x v="32"/>
    <x v="4"/>
    <x v="32"/>
    <x v="0"/>
    <x v="28"/>
  </r>
  <r>
    <x v="19"/>
    <s v="ETIG"/>
    <x v="4"/>
    <x v="1"/>
    <s v="Avaliação do Projeto Hidráulico do Tanque de Aeração"/>
    <x v="28"/>
    <x v="7"/>
    <x v="1"/>
    <x v="2"/>
    <x v="29"/>
  </r>
  <r>
    <x v="20"/>
    <s v="ETE Farias"/>
    <x v="4"/>
    <x v="1"/>
    <s v="Definição estratégica sobre os dados de entrada da ETE"/>
    <x v="28"/>
    <x v="2"/>
    <x v="14"/>
    <x v="2"/>
    <x v="30"/>
  </r>
  <r>
    <x v="21"/>
    <s v="ETE Pavuna"/>
    <x v="4"/>
    <x v="1"/>
    <s v="Avaliação do Estudo do Preliminar"/>
    <x v="28"/>
    <x v="32"/>
    <x v="33"/>
    <x v="0"/>
    <x v="31"/>
  </r>
  <r>
    <x v="22"/>
    <s v="ETE Orquídea"/>
    <x v="4"/>
    <x v="1"/>
    <s v="Revisar planilha de Vazão"/>
    <x v="27"/>
    <x v="14"/>
    <x v="4"/>
    <x v="2"/>
    <x v="20"/>
  </r>
  <r>
    <x v="22"/>
    <s v="ETE Orquídea"/>
    <x v="4"/>
    <x v="2"/>
    <s v="Romper contrato com a CISM"/>
    <x v="33"/>
    <x v="2"/>
    <x v="14"/>
    <x v="2"/>
    <x v="32"/>
  </r>
  <r>
    <x v="22"/>
    <s v="ETE Orquídea"/>
    <x v="4"/>
    <x v="2"/>
    <s v="Elaborar TR para contratação da nova projetista"/>
    <x v="27"/>
    <x v="14"/>
    <x v="4"/>
    <x v="2"/>
    <x v="33"/>
  </r>
  <r>
    <x v="23"/>
    <s v="ETE Siqueira"/>
    <x v="4"/>
    <x v="3"/>
    <s v="ATO - Faseamento da Laje de Fundo do TA"/>
    <x v="21"/>
    <x v="2"/>
    <x v="2"/>
    <x v="0"/>
    <x v="34"/>
  </r>
  <r>
    <x v="23"/>
    <s v="ETE Siqueira"/>
    <x v="4"/>
    <x v="3"/>
    <s v="ATO - Inexequibilidade das Estacas"/>
    <x v="34"/>
    <x v="30"/>
    <x v="14"/>
    <x v="1"/>
    <x v="35"/>
  </r>
  <r>
    <x v="23"/>
    <s v="ETE Siqueira"/>
    <x v="4"/>
    <x v="3"/>
    <s v="ATO – Trafo com divergências de potencias"/>
    <x v="21"/>
    <x v="33"/>
    <x v="15"/>
    <x v="0"/>
    <x v="36"/>
  </r>
  <r>
    <x v="23"/>
    <s v="ETE Siqueira"/>
    <x v="4"/>
    <x v="3"/>
    <s v="ATO – Base da casa dos geradores"/>
    <x v="21"/>
    <x v="34"/>
    <x v="2"/>
    <x v="1"/>
    <x v="20"/>
  </r>
  <r>
    <x v="23"/>
    <s v="ETE Siqueira"/>
    <x v="4"/>
    <x v="3"/>
    <s v="ATO – Locação do Tanque de Diesel"/>
    <x v="21"/>
    <x v="13"/>
    <x v="4"/>
    <x v="0"/>
    <x v="37"/>
  </r>
  <r>
    <x v="23"/>
    <s v="ETE Siqueira"/>
    <x v="4"/>
    <x v="3"/>
    <s v="ATO – Estrutura Complexo Elétrico"/>
    <x v="21"/>
    <x v="2"/>
    <x v="5"/>
    <x v="1"/>
    <x v="38"/>
  </r>
  <r>
    <x v="23"/>
    <s v="ETE Siqueira"/>
    <x v="4"/>
    <x v="3"/>
    <s v="ATO - Cota de Operação no NA de saída para o emissário"/>
    <x v="21"/>
    <x v="2"/>
    <x v="2"/>
    <x v="2"/>
    <x v="39"/>
  </r>
  <r>
    <x v="23"/>
    <s v="ETE Jardim Esperança"/>
    <x v="4"/>
    <x v="3"/>
    <s v="ATO – Espessura da base dos reservatórios metálicos"/>
    <x v="21"/>
    <x v="35"/>
    <x v="20"/>
    <x v="1"/>
    <x v="40"/>
  </r>
  <r>
    <x v="23"/>
    <s v="ETE Siqueira"/>
    <x v="4"/>
    <x v="1"/>
    <s v="Substituição do Digestor"/>
    <x v="21"/>
    <x v="2"/>
    <x v="14"/>
    <x v="1"/>
    <x v="41"/>
  </r>
  <r>
    <x v="24"/>
    <s v="SES Faria"/>
    <x v="4"/>
    <x v="1"/>
    <s v="Avaliação do estudo de transientes (EE1-SB7, EE1-SB8 e EE1-SB10)"/>
    <x v="35"/>
    <x v="30"/>
    <x v="4"/>
    <x v="0"/>
    <x v="42"/>
  </r>
  <r>
    <x v="24"/>
    <s v="SES Faria"/>
    <x v="4"/>
    <x v="1"/>
    <s v="Avaliação do estudo de transientes (EE1-SB2, EE3-SB3 e EE1-SB5)"/>
    <x v="35"/>
    <x v="35"/>
    <x v="22"/>
    <x v="1"/>
    <x v="20"/>
  </r>
  <r>
    <x v="24"/>
    <s v="SES Faria"/>
    <x v="4"/>
    <x v="1"/>
    <s v="Avaliação do estudo de transientes (EE2-SB5, EE3-SB5 e EE4-SB5)"/>
    <x v="35"/>
    <x v="36"/>
    <x v="34"/>
    <x v="1"/>
    <x v="20"/>
  </r>
  <r>
    <x v="24"/>
    <s v="SES Faria"/>
    <x v="4"/>
    <x v="1"/>
    <s v="Avaliação do estudo de transientes (EE5-SB5 e EE6-SB5)"/>
    <x v="35"/>
    <x v="36"/>
    <x v="34"/>
    <x v="1"/>
    <x v="20"/>
  </r>
  <r>
    <x v="24"/>
    <s v="SES Faria"/>
    <x v="4"/>
    <x v="1"/>
    <s v="Enviar projetos de automação para equipe avaliar"/>
    <x v="27"/>
    <x v="2"/>
    <x v="14"/>
    <x v="2"/>
    <x v="20"/>
  </r>
  <r>
    <x v="24"/>
    <s v="SES Faria"/>
    <x v="4"/>
    <x v="1"/>
    <s v="Identificar divergências na travessia da ELOVIAS"/>
    <x v="27"/>
    <x v="2"/>
    <x v="14"/>
    <x v="2"/>
    <x v="20"/>
  </r>
  <r>
    <x v="24"/>
    <s v="SES Faria"/>
    <x v="4"/>
    <x v="1"/>
    <s v="Compatibilização com projeto de CTS"/>
    <x v="27"/>
    <x v="2"/>
    <x v="14"/>
    <x v="2"/>
    <x v="20"/>
  </r>
  <r>
    <x v="25"/>
    <s v="SES Saracuruna"/>
    <x v="4"/>
    <x v="1"/>
    <s v="Aprovação do Estudo de Transientes Hidráulico da EE-11"/>
    <x v="35"/>
    <x v="13"/>
    <x v="19"/>
    <x v="1"/>
    <x v="20"/>
  </r>
  <r>
    <x v="25"/>
    <s v="SES Saracuruna"/>
    <x v="4"/>
    <x v="1"/>
    <s v="Enviar projetos de automação para equipe avaliar"/>
    <x v="27"/>
    <x v="2"/>
    <x v="14"/>
    <x v="2"/>
    <x v="20"/>
  </r>
  <r>
    <x v="25"/>
    <s v="SES Saracuruna"/>
    <x v="4"/>
    <x v="1"/>
    <s v="Compatibilização com projeto de CTS"/>
    <x v="27"/>
    <x v="2"/>
    <x v="14"/>
    <x v="2"/>
    <x v="20"/>
  </r>
  <r>
    <x v="26"/>
    <s v="SES Santo Cristo"/>
    <x v="4"/>
    <x v="1"/>
    <s v="Validar estudo de população e vazão"/>
    <x v="35"/>
    <x v="2"/>
    <x v="14"/>
    <x v="2"/>
    <x v="20"/>
  </r>
  <r>
    <x v="26"/>
    <s v="SES Santo Cristo"/>
    <x v="4"/>
    <x v="1"/>
    <s v="Iniciar estudo de alternativas"/>
    <x v="11"/>
    <x v="2"/>
    <x v="14"/>
    <x v="1"/>
    <x v="20"/>
  </r>
  <r>
    <x v="27"/>
    <s v="ASES"/>
    <x v="4"/>
    <x v="1"/>
    <s v="Avaliação do Estudo de Alternativas para a rua Marques de São Vicente"/>
    <x v="35"/>
    <x v="23"/>
    <x v="20"/>
    <x v="1"/>
    <x v="20"/>
  </r>
  <r>
    <x v="27"/>
    <s v="ASES"/>
    <x v="4"/>
    <x v="1"/>
    <s v="Avaliação do Estudo de Alternativas para a rua das Laranjeiras"/>
    <x v="35"/>
    <x v="23"/>
    <x v="20"/>
    <x v="1"/>
    <x v="20"/>
  </r>
  <r>
    <x v="27"/>
    <s v="ASES"/>
    <x v="4"/>
    <x v="1"/>
    <s v="Avaliação do Estudo de Alternativas para a rua Gustavo Sampaio "/>
    <x v="35"/>
    <x v="23"/>
    <x v="20"/>
    <x v="1"/>
    <x v="20"/>
  </r>
  <r>
    <x v="28"/>
    <s v="ETE Sarapuí"/>
    <x v="3"/>
    <x v="1"/>
    <s v="Finalizar a concepção da Planilha de Vazão"/>
    <x v="36"/>
    <x v="37"/>
    <x v="35"/>
    <x v="2"/>
    <x v="20"/>
  </r>
  <r>
    <x v="28"/>
    <s v="ETE Sarapuí"/>
    <x v="3"/>
    <x v="1"/>
    <s v="Finalização da Planilha de BLEND"/>
    <x v="37"/>
    <x v="6"/>
    <x v="35"/>
    <x v="2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62C84-71B1-4C98-87E0-DA7A6258EF7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10">
    <pivotField showAll="0">
      <items count="30">
        <item x="17"/>
        <item x="13"/>
        <item x="10"/>
        <item x="11"/>
        <item x="23"/>
        <item x="27"/>
        <item x="12"/>
        <item x="0"/>
        <item x="4"/>
        <item x="20"/>
        <item x="21"/>
        <item x="8"/>
        <item x="28"/>
        <item x="1"/>
        <item x="14"/>
        <item x="24"/>
        <item x="3"/>
        <item x="26"/>
        <item x="9"/>
        <item x="16"/>
        <item x="2"/>
        <item x="25"/>
        <item x="18"/>
        <item x="22"/>
        <item x="6"/>
        <item x="5"/>
        <item x="7"/>
        <item x="15"/>
        <item x="19"/>
        <item t="default"/>
      </items>
    </pivotField>
    <pivotField showAll="0"/>
    <pivotField showAll="0">
      <items count="6">
        <item x="2"/>
        <item x="3"/>
        <item x="0"/>
        <item x="4"/>
        <item x="1"/>
        <item t="default"/>
      </items>
    </pivotField>
    <pivotField axis="axisRow" dataField="1" showAll="0">
      <items count="5">
        <item x="3"/>
        <item x="0"/>
        <item x="2"/>
        <item x="1"/>
        <item t="default"/>
      </items>
    </pivotField>
    <pivotField showAll="0"/>
    <pivotField showAll="0">
      <items count="39">
        <item x="18"/>
        <item x="10"/>
        <item x="15"/>
        <item x="31"/>
        <item x="17"/>
        <item x="20"/>
        <item x="16"/>
        <item x="29"/>
        <item x="21"/>
        <item x="8"/>
        <item x="14"/>
        <item x="19"/>
        <item x="25"/>
        <item x="24"/>
        <item x="37"/>
        <item x="36"/>
        <item x="6"/>
        <item x="0"/>
        <item x="33"/>
        <item x="26"/>
        <item x="7"/>
        <item x="1"/>
        <item x="32"/>
        <item x="3"/>
        <item x="4"/>
        <item x="13"/>
        <item x="35"/>
        <item x="23"/>
        <item x="5"/>
        <item x="34"/>
        <item x="30"/>
        <item x="28"/>
        <item x="22"/>
        <item x="27"/>
        <item x="9"/>
        <item x="11"/>
        <item x="12"/>
        <item x="2"/>
        <item t="default"/>
      </items>
    </pivotField>
    <pivotField showAll="0">
      <items count="39">
        <item x="2"/>
        <item x="26"/>
        <item x="18"/>
        <item x="19"/>
        <item x="16"/>
        <item x="34"/>
        <item x="9"/>
        <item x="37"/>
        <item x="29"/>
        <item x="8"/>
        <item x="15"/>
        <item x="32"/>
        <item x="12"/>
        <item x="25"/>
        <item x="24"/>
        <item x="33"/>
        <item x="22"/>
        <item x="10"/>
        <item x="17"/>
        <item x="30"/>
        <item x="0"/>
        <item x="1"/>
        <item x="7"/>
        <item x="14"/>
        <item x="20"/>
        <item x="5"/>
        <item x="6"/>
        <item x="13"/>
        <item x="21"/>
        <item x="4"/>
        <item x="23"/>
        <item x="31"/>
        <item x="35"/>
        <item x="36"/>
        <item x="3"/>
        <item x="28"/>
        <item x="27"/>
        <item x="11"/>
        <item t="default"/>
      </items>
    </pivotField>
    <pivotField showAll="0">
      <items count="37">
        <item x="14"/>
        <item x="27"/>
        <item x="25"/>
        <item x="35"/>
        <item x="16"/>
        <item x="17"/>
        <item x="24"/>
        <item x="33"/>
        <item x="10"/>
        <item x="26"/>
        <item x="6"/>
        <item x="31"/>
        <item x="0"/>
        <item x="7"/>
        <item x="1"/>
        <item x="15"/>
        <item x="4"/>
        <item x="9"/>
        <item x="18"/>
        <item x="19"/>
        <item x="21"/>
        <item x="2"/>
        <item x="32"/>
        <item x="8"/>
        <item x="20"/>
        <item x="22"/>
        <item x="3"/>
        <item x="30"/>
        <item x="34"/>
        <item x="5"/>
        <item x="12"/>
        <item x="11"/>
        <item x="23"/>
        <item x="29"/>
        <item x="28"/>
        <item x="13"/>
        <item t="default"/>
      </items>
    </pivotField>
    <pivotField showAll="0">
      <items count="6">
        <item x="2"/>
        <item x="0"/>
        <item x="1"/>
        <item x="4"/>
        <item x="3"/>
        <item t="default"/>
      </items>
    </pivotField>
    <pivotField showAll="0">
      <items count="44">
        <item x="20"/>
        <item x="28"/>
        <item x="27"/>
        <item x="42"/>
        <item x="29"/>
        <item x="26"/>
        <item x="37"/>
        <item x="36"/>
        <item x="16"/>
        <item x="19"/>
        <item x="8"/>
        <item x="41"/>
        <item x="11"/>
        <item x="1"/>
        <item x="35"/>
        <item x="40"/>
        <item x="38"/>
        <item x="12"/>
        <item x="10"/>
        <item x="21"/>
        <item x="23"/>
        <item x="22"/>
        <item x="7"/>
        <item x="32"/>
        <item x="34"/>
        <item x="39"/>
        <item x="0"/>
        <item x="24"/>
        <item x="17"/>
        <item x="14"/>
        <item x="30"/>
        <item x="31"/>
        <item x="33"/>
        <item x="13"/>
        <item x="3"/>
        <item x="6"/>
        <item x="5"/>
        <item x="4"/>
        <item x="15"/>
        <item x="25"/>
        <item x="18"/>
        <item x="9"/>
        <item x="2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Tipo da Tarefa" fld="3" subtotal="count" baseField="0" baseItem="0"/>
  </dataFields>
  <chartFormats count="1">
    <chartFormat chart="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4B7B7A-1DBA-4120-9697-8AF0AADF6947}" name="Tabela3" displayName="Tabela3" ref="A1:H8" totalsRowShown="0" headerRowDxfId="64" dataDxfId="63">
  <autoFilter ref="A1:H8" xr:uid="{874B7B7A-1DBA-4120-9697-8AF0AADF6947}"/>
  <tableColumns count="8">
    <tableColumn id="1" xr3:uid="{4ABCCD2C-580D-468D-BC55-7375CECDF1BC}" name="ProjectID" dataDxfId="62"/>
    <tableColumn id="8" xr3:uid="{A6F7CC90-1056-4D0F-B6EB-2337FF60F40C}" name="Projeto" dataDxfId="61"/>
    <tableColumn id="2" xr3:uid="{186B6E21-5C92-4EAD-B7DD-A9512A4FB342}" name="MesRef" dataDxfId="60"/>
    <tableColumn id="3" xr3:uid="{FBCA3527-D483-40A9-BCB0-70B6673C1B03}" name="Secao" dataDxfId="59"/>
    <tableColumn id="4" xr3:uid="{7589E0BD-CF7A-437B-86C2-5D0DA47284ED}" name="Ordem" dataDxfId="58"/>
    <tableColumn id="5" xr3:uid="{51BE85AC-EEFA-4A00-AC78-B030B3463AE6}" name="Texto" dataDxfId="57"/>
    <tableColumn id="6" xr3:uid="{F961E3AD-7158-4BFD-995A-3B677BAFD23B}" name="AtualizadoEm" dataDxfId="56"/>
    <tableColumn id="7" xr3:uid="{9A2BBBDA-FC24-4376-A552-4418B7B1CEC8}" name="AtualizadoPor" dataDxfId="55"/>
  </tableColumns>
  <tableStyleInfo name="Padrão AEGEA 2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2EC0CC-0DB0-4B9B-BDDB-4CD9D41FAA98}" name="Tabela1" displayName="Tabela1" ref="A1:AU86" headerRowDxfId="161" dataDxfId="160" totalsRowDxfId="159">
  <autoFilter ref="A1:AU86" xr:uid="{EC2EC0CC-0DB0-4B9B-BDDB-4CD9D41FAA98}">
    <filterColumn colId="14">
      <filters blank="1">
        <filter val="ATO"/>
        <filter val="Atrasado"/>
        <filter val="Cancelado"/>
        <filter val="Em Linha"/>
        <filter val="Em Risco"/>
        <filter val="Não Iniciado"/>
      </filters>
    </filterColumn>
  </autoFilter>
  <sortState xmlns:xlrd2="http://schemas.microsoft.com/office/spreadsheetml/2017/richdata2" ref="A2:AU86">
    <sortCondition ref="A1:A86"/>
  </sortState>
  <tableColumns count="47">
    <tableColumn id="1" xr3:uid="{965D0FAF-4D25-46D0-8308-088FC0B7ECE3}" name="ProjectID" dataDxfId="158" totalsRowDxfId="157"/>
    <tableColumn id="42" xr3:uid="{1C60089C-2BC8-4A95-88D3-64544BBC8609}" name="Status Contrato" dataDxfId="156" totalsRowDxfId="155"/>
    <tableColumn id="13" xr3:uid="{9D3617FE-47A4-4AF6-BDC6-3ACB8E2765E4}" name="Gestor Contrante" dataDxfId="154" totalsRowDxfId="153"/>
    <tableColumn id="47" xr3:uid="{D8305E27-3B64-4832-A4A0-23F6052406AA}" name="Gestor Contratada" dataDxfId="152" totalsRowDxfId="151"/>
    <tableColumn id="14" xr3:uid="{4C9E59AD-D2F6-45D6-99F7-48D2C9D26418}" name="Contrato" dataDxfId="150" totalsRowDxfId="149"/>
    <tableColumn id="39" xr3:uid="{3D0952E4-8022-46ED-A797-5EC0BEC23126}" name="Empresa" dataDxfId="148" totalsRowDxfId="147"/>
    <tableColumn id="11" xr3:uid="{FC4D1796-6E63-4870-B291-8AEAFA0C25EA}" name="Regional" dataDxfId="146" totalsRowDxfId="145"/>
    <tableColumn id="46" xr3:uid="{72F2260E-AB51-4F7D-8A16-BA95CDBEC877}" name="Planejamento Mês" dataDxfId="144" totalsRowDxfId="143"/>
    <tableColumn id="10" xr3:uid="{45F86D9D-2358-4239-9E36-2EAB4BC8B7E7}" name="Projeto" dataDxfId="142" totalsRowDxfId="141"/>
    <tableColumn id="15" xr3:uid="{5032160D-282D-48AD-8D2F-D66BF84511B1}" name="Escopo" dataDxfId="140" totalsRowDxfId="139"/>
    <tableColumn id="41" xr3:uid="{0A7CC7F5-B608-42C6-B788-B6F4AF60CE05}" name="Prioridade" dataDxfId="138" totalsRowDxfId="137"/>
    <tableColumn id="43" xr3:uid="{FD018E9D-D9A5-4142-91BA-AFECC099372E}" name="Motivo Prioridade" dataDxfId="136" totalsRowDxfId="135"/>
    <tableColumn id="40" xr3:uid="{C0F69998-986B-4586-B2F0-275B37D272B6}" name="Ano Obra" dataDxfId="134" totalsRowDxfId="133"/>
    <tableColumn id="2" xr3:uid="{41FBD6AC-8D2A-45DE-A357-71DC3D8068BB}" name="Progresso" dataDxfId="132" totalsRowDxfId="131"/>
    <tableColumn id="3" xr3:uid="{72AD9549-B27B-4F06-B819-E9FDE6FD5757}" name="Status Projeto" dataDxfId="130" totalsRowDxfId="129"/>
    <tableColumn id="18" xr3:uid="{0CBE3E60-C7AD-4B36-AD7D-B6C848C1F854}" name="Duração" dataDxfId="128" totalsRowDxfId="127"/>
    <tableColumn id="16" xr3:uid="{AF17823D-ECD8-46C4-9533-F51C134647E6}" name="Início Previsto" dataDxfId="126" totalsRowDxfId="125"/>
    <tableColumn id="17" xr3:uid="{1027E908-4C0B-4231-B1FC-EB82E909A3B8}" name="Início Real" dataDxfId="124" totalsRowDxfId="123"/>
    <tableColumn id="4" xr3:uid="{EA4A59A8-49DF-441C-B40F-370E1F678D45}" name="Término Previsto" dataDxfId="122" totalsRowDxfId="121"/>
    <tableColumn id="5" xr3:uid="{9DB866DA-2536-400D-B0D3-4D6485922BEA}" name="Término Real" totalsRowLabel="Total" dataDxfId="120" totalsRowDxfId="119"/>
    <tableColumn id="6" xr3:uid="{867945D9-0761-474A-A0C8-A6199C812255}" name="Previsto Contrato (R$MM)" totalsRowFunction="sum" dataDxfId="118" totalsRowDxfId="117" dataCellStyle="Vírgula"/>
    <tableColumn id="7" xr3:uid="{FEAB080F-C077-4265-A95D-235B09E0D6B5}" name="Aditivo (R$MM)" totalsRowFunction="sum" dataDxfId="116" totalsRowDxfId="115" dataCellStyle="Vírgula"/>
    <tableColumn id="8" xr3:uid="{DB35D016-0DBC-4DD3-973B-A2BACB345300}" name="Medido (R$MM)" totalsRowFunction="sum" dataDxfId="114" totalsRowDxfId="113" dataCellStyle="Vírgula"/>
    <tableColumn id="9" xr3:uid="{7664305F-67D5-4C06-9E79-ECB3289E1A2D}" name="Saldo Contrato (R$MM)" totalsRowFunction="sum" dataDxfId="112" totalsRowDxfId="111" dataCellStyle="Vírgula">
      <calculatedColumnFormula>SUM(Tabela1[[#This Row],[Previsto Contrato (R$MM)]:[Medido (R$MM)]])</calculatedColumnFormula>
    </tableColumn>
    <tableColumn id="12" xr3:uid="{CBE7783D-DA1E-4930-9C0F-E6D8BE8B4D3E}" name="Previsto Ano (R$MM)" totalsRowFunction="sum" dataDxfId="110" totalsRowDxfId="109" dataCellStyle="Vírgula"/>
    <tableColumn id="19" xr3:uid="{3FF03ADA-769A-40D6-8AE8-2137EA7939A3}" name="Sistema" dataDxfId="108" totalsRowDxfId="107" dataCellStyle="Vírgula"/>
    <tableColumn id="20" xr3:uid="{131A22C6-56FE-4D7C-ADB0-D5206641FBFA}" name="ETE - Q&lt;200_x000a_(und)" dataDxfId="106" totalsRowDxfId="105" dataCellStyle="Vírgula"/>
    <tableColumn id="24" xr3:uid="{85B2E9F1-3DC3-4821-AC16-B5AA0519187F}" name="ETE - 200&lt;Q&lt;500_x000a_(und)" dataDxfId="104" totalsRowDxfId="103" dataCellStyle="Vírgula"/>
    <tableColumn id="25" xr3:uid="{C4F6EF42-59FB-4FA8-AE5B-A9EC4B791884}" name="ETE - 500&lt;Q&lt;1000_x000a_(und)" dataDxfId="102" totalsRowDxfId="101" dataCellStyle="Vírgula"/>
    <tableColumn id="26" xr3:uid="{C06C3A7C-649C-475F-8F2B-70131BB01451}" name="ETE - Q&gt;1000_x000a_(und)" dataDxfId="100" totalsRowDxfId="99" dataCellStyle="Vírgula"/>
    <tableColumn id="21" xr3:uid="{E283E555-5684-4672-A550-1AAE7B6DF3F2}" name="EEE - &lt;5 cv (und)" dataDxfId="98" totalsRowDxfId="97" dataCellStyle="Vírgula"/>
    <tableColumn id="27" xr3:uid="{ED3F4A72-F645-4D15-B9D4-8FA9B31142C5}" name="EEE - &gt;5cv (und)" dataDxfId="96" totalsRowDxfId="95" dataCellStyle="Vírgula"/>
    <tableColumn id="22" xr3:uid="{9A884718-9780-4F88-9125-E4DF682A022B}" name="Interceptor - Coletor Tronco _x000a_(m)" dataDxfId="94" totalsRowDxfId="93" dataCellStyle="Vírgula"/>
    <tableColumn id="23" xr3:uid="{25D49634-273D-4500-AF22-60C8852B82C5}" name="RCE _x000a_(m)" dataDxfId="92" totalsRowDxfId="91" dataCellStyle="Vírgula"/>
    <tableColumn id="28" xr3:uid="{1DC58C52-AFC6-4DDC-BA9A-40DA400D386B}" name="ETA - Q&lt;50_x000a_(und)" dataDxfId="90" totalsRowDxfId="89" dataCellStyle="Vírgula"/>
    <tableColumn id="29" xr3:uid="{84F09996-5D6F-4665-9CF1-A9F6ED256050}" name="ETA - 50&lt;Q&lt;100_x000a_(und)" dataDxfId="88" totalsRowDxfId="87" dataCellStyle="Vírgula"/>
    <tableColumn id="30" xr3:uid="{57F7201F-D97D-425C-92F8-110D7A7995AF}" name="ETA - Q&gt;100_x000a_(und)" dataDxfId="86" totalsRowDxfId="85" dataCellStyle="Vírgula"/>
    <tableColumn id="33" xr3:uid="{DF0A5C24-8BB9-4748-A9A5-73ADC4105FE6}" name="CTS GAP (und)" dataDxfId="84" totalsRowDxfId="83" dataCellStyle="Vírgula"/>
    <tableColumn id="34" xr3:uid="{AF28CA1C-7495-4AE0-878B-E5C2E58774A9}" name="CTS CH (und)" dataDxfId="82" totalsRowDxfId="81" dataCellStyle="Vírgula"/>
    <tableColumn id="31" xr3:uid="{0B8EF3DE-78D2-499B-8603-29CCBC4383C6}" name="Captação Superficial _x000a_(und)" dataDxfId="80" totalsRowDxfId="79" dataCellStyle="Vírgula"/>
    <tableColumn id="32" xr3:uid="{6552E466-EF6A-4BE3-8ACB-A03C59550E8E}" name="Captação Subterrânea_x000a_(und)" dataDxfId="78" totalsRowDxfId="77" dataCellStyle="Vírgula"/>
    <tableColumn id="35" xr3:uid="{752BDA68-D1C6-4D82-8CD0-6348EBD1F613}" name="EEAB (und)" dataDxfId="76" totalsRowDxfId="75" dataCellStyle="Vírgula"/>
    <tableColumn id="36" xr3:uid="{6638406F-5FD7-4EF0-8A93-D603532E9FB4}" name="EEAT (und)" dataDxfId="74" totalsRowDxfId="73" dataCellStyle="Vírgula"/>
    <tableColumn id="37" xr3:uid="{6A956E6F-9C34-4CF5-837F-9AA54CF62317}" name="Reservatório - Vol.&lt;500m³_x000a_(und)" dataDxfId="72" totalsRowDxfId="71" dataCellStyle="Vírgula"/>
    <tableColumn id="38" xr3:uid="{E2FE3019-8831-486C-A929-45EF80ED9A9A}" name="Reservatório - Vol.&gt;500m³_x000a_(und)" dataDxfId="70" totalsRowDxfId="69" dataCellStyle="Vírgula"/>
    <tableColumn id="45" xr3:uid="{70E2A5A3-E62B-4907-930F-18151D96AD67}" name="Ultima Atualização do Projeto" dataDxfId="68" totalsRowDxfId="67" dataCellStyle="Vírgula"/>
    <tableColumn id="44" xr3:uid="{FB8AC72A-61EB-4613-99F9-6985FC5E5DA3}" name="Atualizado Por" dataDxfId="66" totalsRowDxfId="65" dataCellStyle="Vírgula"/>
  </tableColumns>
  <tableStyleInfo name="Padrão AEGEA 2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5641BE-945F-4A54-B8FB-E4CAC7814DCA}" name="Tabela13" displayName="Tabela13" ref="A1:O123" totalsRowShown="0" headerRowDxfId="54" dataDxfId="53" tableBorderDxfId="52">
  <autoFilter ref="A1:O123" xr:uid="{EC2EC0CC-0DB0-4B9B-BDDB-4CD9D41FAA98}">
    <filterColumn colId="3">
      <filters>
        <filter val="Luan"/>
      </filters>
    </filterColumn>
    <filterColumn colId="11">
      <filters>
        <filter val="Atrasado"/>
        <filter val="Em Progresso"/>
        <filter val="Pausado"/>
      </filters>
    </filterColumn>
  </autoFilter>
  <sortState xmlns:xlrd2="http://schemas.microsoft.com/office/spreadsheetml/2017/richdata2" ref="A2:O123">
    <sortCondition ref="A1:A123"/>
  </sortState>
  <tableColumns count="15">
    <tableColumn id="1" xr3:uid="{F2A0CA28-BECA-4483-9E50-7763DC4E323A}" name="ProjectID" dataDxfId="51"/>
    <tableColumn id="16" xr3:uid="{049F2730-8120-41C2-9C74-3BE7AAE91A54}" name="Contrato" dataDxfId="50"/>
    <tableColumn id="2" xr3:uid="{71C571A6-6BB6-43FC-B2DF-4535A0EEC82F}" name="Projeto" dataDxfId="49"/>
    <tableColumn id="14" xr3:uid="{1D929697-50F0-4E50-8822-C7A40125BCF7}" name="Gestor" dataDxfId="48"/>
    <tableColumn id="4" xr3:uid="{72D59503-8302-4D4C-9B40-42EFAA4401BD}" name="Tipo da Tarefa" dataDxfId="47"/>
    <tableColumn id="13" xr3:uid="{8003D50C-3661-488D-A374-ECFD395996DF}" name="Tarefa" dataDxfId="46"/>
    <tableColumn id="10" xr3:uid="{4960720B-23AC-410F-A3DD-26D8486E8F05}" name="Responsável" dataDxfId="45"/>
    <tableColumn id="12" xr3:uid="{007887BC-69D2-45F1-ABBC-DB9CAD052832}" name="Início" dataDxfId="44"/>
    <tableColumn id="11" xr3:uid="{7AC735C2-5D4F-4B6E-8B0C-D1D1B8D7E0F1}" name="Prazo" dataDxfId="43"/>
    <tableColumn id="5" xr3:uid="{7733E036-0361-4F48-B31E-CC54EFA47FCB}" name="Entrega" dataDxfId="42"/>
    <tableColumn id="6" xr3:uid="{6E58A7AE-3C3B-473C-BC2E-F6915A7C46A4}" name="Criticidade" dataDxfId="41"/>
    <tableColumn id="3" xr3:uid="{7856C1E3-2FED-4053-90EB-CC35F841D574}" name="Status" dataDxfId="40"/>
    <tableColumn id="9" xr3:uid="{A8ECB25A-63DE-441D-81F9-3C63AC82AC95}" name="Comentários/Atualizações" dataDxfId="39" dataCellStyle="Vírgula"/>
    <tableColumn id="8" xr3:uid="{18B62510-858D-40F7-A1D4-C6C387210BAE}" name="AtualizadoEm" dataDxfId="38"/>
    <tableColumn id="15" xr3:uid="{12A14519-537F-4C14-9DA1-6C6C1E401F3D}" name="AtualizadoPor" dataDxfId="37"/>
  </tableColumns>
  <tableStyleInfo name="Padrão AEGEA 2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63573B-F97E-45D7-A553-E27A5C5B6232}" name="Tabela4" displayName="Tabela4" ref="A1:F2" insertRow="1" totalsRowShown="0">
  <autoFilter ref="A1:F2" xr:uid="{8D63573B-F97E-45D7-A553-E27A5C5B6232}"/>
  <tableColumns count="6">
    <tableColumn id="1" xr3:uid="{5148DA43-2517-4A4F-A1BA-76A415557CB2}" name="ProjectID"/>
    <tableColumn id="2" xr3:uid="{BEAF2A3E-501C-4648-8E02-C695B4810B19}" name="Marco"/>
    <tableColumn id="3" xr3:uid="{3E6B0EF0-D8D0-4202-8EE3-0C2C08BE059B}" name="DataPrevista"/>
    <tableColumn id="4" xr3:uid="{6B6DA1C8-8714-4CA1-A943-A5857652AB0D}" name="DataReal"/>
    <tableColumn id="5" xr3:uid="{5939E283-FC7A-4683-B0E8-92420AA655F7}" name="Status"/>
    <tableColumn id="6" xr3:uid="{567DE77B-A206-407F-81BB-58F2C2B2B0DD}" name="Obervacao"/>
  </tableColumns>
  <tableStyleInfo name="Padrão AEGEA 2 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27BF78-48CC-456B-B4A6-42F28B16E6F2}" name="Tabela5" displayName="Tabela5" ref="A1:I14" totalsRowShown="0" headerRowDxfId="36" dataDxfId="35">
  <autoFilter ref="A1:I14" xr:uid="{FD27BF78-48CC-456B-B4A6-42F28B16E6F2}"/>
  <tableColumns count="9">
    <tableColumn id="1" xr3:uid="{1F109771-0561-4E76-B55C-153893E08F3B}" name="ProjectID" dataDxfId="34"/>
    <tableColumn id="2" xr3:uid="{87658C53-7FD6-4E7F-A4AE-DCE9F00209A9}" name="Projeto / Assunto" dataDxfId="33"/>
    <tableColumn id="3" xr3:uid="{95C9FDB9-32AD-4150-BB94-ECFB6E1D68DF}" name="Pauta" dataDxfId="32"/>
    <tableColumn id="5" xr3:uid="{2FE2D12A-E4FA-498E-BE8B-CB09BADCDED3}" name="Status" dataDxfId="31"/>
    <tableColumn id="6" xr3:uid="{AD9C9645-118B-42E1-A6A2-3C0947F577A8}" name="Responsável" dataDxfId="30"/>
    <tableColumn id="9" xr3:uid="{FC433A5F-8939-4415-BE9C-CF8611618B8E}" name="Duração" dataDxfId="29">
      <calculatedColumnFormula>Tabela5[[#This Row],[Término]]-Tabela5[[#This Row],[Início]]</calculatedColumnFormula>
    </tableColumn>
    <tableColumn id="8" xr3:uid="{E67A2C35-9C08-4982-B36D-02406336AA0F}" name="Início" dataDxfId="28"/>
    <tableColumn id="7" xr3:uid="{94614105-22C4-4911-95F0-4D01E033FE75}" name="Término" dataDxfId="27"/>
    <tableColumn id="4" xr3:uid="{E70CF6E5-3CCD-49A6-98B1-576712811B79}" name="Reunião 10/02" dataDxfId="26"/>
  </tableColumns>
  <tableStyleInfo name="Padrão AEGEA 2 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6-01-26T17:59:03.80" personId="{BA2B435A-4CD4-48F0-8A0B-4AB3462B0793}" id="{EAEEB3D0-38AE-4C3C-82A2-41FD0FB95914}">
    <text>Cronograma apresentado, colocaram 5 dias para avaliação do processo.
LR elevatória, obra + operação ficaram de enviar proposta do novo encaminhamento da linha de recalque.</text>
  </threadedComment>
  <threadedComment ref="J2" dT="2026-01-27T14:27:27.67" personId="{BA2B435A-4CD4-48F0-8A0B-4AB3462B0793}" id="{50E77490-7372-4680-9292-EBD39B61D030}" parentId="{EAEEB3D0-38AE-4C3C-82A2-41FD0FB95914}">
    <text>Como está o contrato da haskonig? Onde vai ficar o contrato? Como foi feito em Los Angeles? A prolagos deverá fazer um contrato com a empresa para o projeto + consultoria. 
Com está a relação com a SANEARES.</text>
  </threadedComment>
  <threadedComment ref="J2" dT="2026-02-02T19:33:44.37" personId="{BA2B435A-4CD4-48F0-8A0B-4AB3462B0793}" id="{21F8D961-49F3-44CD-A582-F64BC70E86EC}" parentId="{EAEEB3D0-38AE-4C3C-82A2-41FD0FB95914}">
    <text>Contrato Royal Haskoning (BOQ)  - Estão revisando o BOQ
Levantamento da LR (sugerido operacional + obras) para alteração.</text>
  </threadedComment>
  <threadedComment ref="J2" dT="2026-02-03T14:34:11.40" personId="{BA2B435A-4CD4-48F0-8A0B-4AB3462B0793}" id="{5ECA8D15-B121-4BBB-95EF-CE2E3ECE6509}" parentId="{EAEEB3D0-38AE-4C3C-82A2-41FD0FB95914}">
    <text>Verificar qual tipo de desinfecção será utilizado (operação)</text>
  </threadedComment>
  <threadedComment ref="J2" dT="2026-02-03T14:35:21.18" personId="{BA2B435A-4CD4-48F0-8A0B-4AB3462B0793}" id="{9AC11501-21CE-4F9E-8DCE-D847D6E46DBA}" parentId="{EAEEB3D0-38AE-4C3C-82A2-41FD0FB95914}">
    <text xml:space="preserve">13/02 - recebimento do BOQ + odr 
04/02 - pdr
</text>
  </threadedComment>
  <threadedComment ref="J3" dT="2026-01-26T17:55:48.80" personId="{BA2B435A-4CD4-48F0-8A0B-4AB3462B0793}" id="{0536717E-0FBD-4ED4-A827-402E54DEB2EC}">
    <text>Validar automação para retirar os equipamentos, a sondotécnica questiona que há mudança de escopo. 
Solicitaram 45 dias.</text>
  </threadedComment>
  <threadedComment ref="J3" dT="2026-01-27T14:15:53.82" personId="{BA2B435A-4CD4-48F0-8A0B-4AB3462B0793}" id="{3FDA160B-C3F2-4A38-B86B-636EF8BE93C0}" parentId="{0536717E-0FBD-4ED4-A827-402E54DEB2EC}">
    <text>Definir quem vai ficar responsável pelo perfil hidráulico. 
Estava com Miguel.</text>
  </threadedComment>
  <threadedComment ref="J3" dT="2026-02-02T19:34:18.11" personId="{BA2B435A-4CD4-48F0-8A0B-4AB3462B0793}" id="{1F41A0AF-E6C2-4A83-8BE9-6F3D60DF19D0}" parentId="{0536717E-0FBD-4ED4-A827-402E54DEB2EC}">
    <text>Definição da questão da automação, Luis da Automação se existe mérito no pleito por conta do plano diretor</text>
  </threadedComment>
  <threadedComment ref="J4" dT="2026-01-26T18:00:33.61" personId="{BA2B435A-4CD4-48F0-8A0B-4AB3462B0793}" id="{33A77375-A4FF-40DC-8013-F1E037C15D09}">
    <text>Pendente análise elétrica (Caiero)</text>
  </threadedComment>
  <threadedComment ref="J4" dT="2026-01-27T14:29:19.56" personId="{BA2B435A-4CD4-48F0-8A0B-4AB3462B0793}" id="{7BE8AB63-1493-4F79-9755-4A11C1860008}" parentId="{33A77375-A4FF-40DC-8013-F1E037C15D09}">
    <text>Entrega das pendencias 02/02</text>
  </threadedComment>
  <threadedComment ref="J5" dT="2026-01-26T17:48:13.21" personId="{BA2B435A-4CD4-48F0-8A0B-4AB3462B0793}" id="{AE01E938-0657-43DE-88A7-9655BF14D420}">
    <text>Medição: Aguardar retorno da Mariana para tratativas da medição da E-Agua.
Verificar como será feito a retenção contratual. 
Estamos devendo informação da elevatória Ronaldo Gazolla (Operação e Engenharia ficaram de levantar as informações).</text>
  </threadedComment>
  <threadedComment ref="J6" dT="2026-01-26T17:57:05.16" personId="{BA2B435A-4CD4-48F0-8A0B-4AB3462B0793}" id="{13CC054E-D2A0-4270-AFE5-3C1AA2B91BE4}">
    <text>Visitas marcadas para os dias 27-30 de janeiro</text>
  </threadedComment>
  <threadedComment ref="J6" dT="2026-01-27T14:19:19.35" personId="{BA2B435A-4CD4-48F0-8A0B-4AB3462B0793}" id="{0806D095-107C-49CB-AADF-AEAAA820CA9D}" parentId="{13CC054E-D2A0-4270-AFE5-3C1AA2B91BE4}">
    <text>Sidney (gerente Baixada 2), foi provocado para melhoria da ETA Taquara (verificar a priorização)</text>
  </threadedComment>
  <threadedComment ref="J6" dT="2026-02-03T15:37:05.55" personId="{BA2B435A-4CD4-48F0-8A0B-4AB3462B0793}" id="{6C216A24-F6E0-406C-A163-67E2ED7E0A57}" parentId="{13CC054E-D2A0-4270-AFE5-3C1AA2B91BE4}">
    <text>Rio Bonito não terá BAG.</text>
  </threadedComment>
  <threadedComment ref="J6" dT="2026-02-03T15:38:03.30" personId="{BA2B435A-4CD4-48F0-8A0B-4AB3462B0793}" id="{03563C5F-640E-42ED-AA80-7282DA739E45}" parentId="{13CC054E-D2A0-4270-AFE5-3C1AA2B91BE4}">
    <text xml:space="preserve">Marcar reunião projeto x processo x saneares
</text>
  </threadedComment>
  <threadedComment ref="J7" dT="2026-01-26T17:57:58.06" personId="{BA2B435A-4CD4-48F0-8A0B-4AB3462B0793}" id="{3D9AB361-C694-4E83-B5FA-B246A4187CD4}">
    <text>Pendência revisão do projeto estrutural da ETA Miracema - 23/01</text>
  </threadedComment>
  <threadedComment ref="J8" dT="2026-02-10T14:56:31.64" personId="{BA2B435A-4CD4-48F0-8A0B-4AB3462B0793}" id="{65479629-A09F-4048-A49B-988271FDBDA4}">
    <text xml:space="preserve">Verificar com meio ambiente sobre questao de licenciamento do recebimento do lodo ETA Marambaia (Francisco Marcelo - Coordenador Opex)
</text>
  </threadedComment>
  <threadedComment ref="J19" dT="2026-02-02T17:03:49.50" personId="{BA2B435A-4CD4-48F0-8A0B-4AB3462B0793}" id="{4B0F1B2B-5196-4DEA-95C9-874DE45EF1C3}">
    <text>Aguardando aprovação Operação e Obras</text>
  </threadedComment>
  <threadedComment ref="J20" dT="2026-02-02T17:05:02.47" personId="{BA2B435A-4CD4-48F0-8A0B-4AB3462B0793}" id="{1FA11846-CF1F-4FE3-B648-99D05C883107}">
    <text>Dados de entrada entregue
Aguardando cronograma</text>
  </threadedComment>
  <threadedComment ref="J20" dT="2026-02-03T14:21:39.31" personId="{BA2B435A-4CD4-48F0-8A0B-4AB3462B0793}" id="{55B32DA2-24AD-483B-9823-01D0BF82D54D}" parentId="{1FA11846-CF1F-4FE3-B648-99D05C883107}">
    <text xml:space="preserve">Devolutiva do Sidney 05/02. </text>
  </threadedComment>
  <threadedComment ref="J20" dT="2026-02-03T14:26:59.47" personId="{BA2B435A-4CD4-48F0-8A0B-4AB3462B0793}" id="{A9AC8489-4D36-4A57-AEA5-195805C58D9C}" parentId="{1FA11846-CF1F-4FE3-B648-99D05C883107}">
    <text xml:space="preserve">Colocar todos do kick off
</text>
  </threadedComment>
  <threadedComment ref="J21" dT="2026-02-02T17:08:37.18" personId="{BA2B435A-4CD4-48F0-8A0B-4AB3462B0793}" id="{6BDD1B62-9DCF-4A14-B343-0D22C51924E1}">
    <text>Aprovado os projetos hidráulicos.</text>
  </threadedComment>
  <threadedComment ref="J21" dT="2026-02-03T14:28:20.53" personId="{BA2B435A-4CD4-48F0-8A0B-4AB3462B0793}" id="{7C61A6C1-9757-4A83-A366-E3B6C07E6A38}" parentId="{6BDD1B62-9DCF-4A14-B343-0D22C51924E1}">
    <text xml:space="preserve">Proposição do Rodrigo de não aumentar o tralf. Foi devolvido que atender, verificar com a saneares se foi desenvolvido. </text>
  </threadedComment>
  <threadedComment ref="J22" dT="2026-02-02T17:09:58.40" personId="{BA2B435A-4CD4-48F0-8A0B-4AB3462B0793}" id="{177FA552-44DD-46D8-B198-4D3EAD7229AB}">
    <text xml:space="preserve">Projetista esta avaliando a posição sugerida pela equipe de obra.
</text>
  </threadedComment>
  <threadedComment ref="J22" dT="2026-02-03T14:29:10.75" personId="{BA2B435A-4CD4-48F0-8A0B-4AB3462B0793}" id="{E1FC8AA6-AC98-4912-A864-54826939D7DB}" parentId="{177FA552-44DD-46D8-B198-4D3EAD7229AB}">
    <text>Verificar outras pendências.</text>
  </threadedComment>
  <threadedComment ref="J23" dT="2026-01-27T14:39:37.85" personId="{BA2B435A-4CD4-48F0-8A0B-4AB3462B0793}" id="{CF7989B1-44EE-4A3D-A147-A55E4A61F73E}">
    <text xml:space="preserve">Enviar a revisão da apresentação e blend para processo. </text>
  </threadedComment>
  <threadedComment ref="J23" dT="2026-02-02T17:13:57.63" personId="{BA2B435A-4CD4-48F0-8A0B-4AB3462B0793}" id="{4407A40C-2A70-46BD-BA74-54760D271C99}" parentId="{CF7989B1-44EE-4A3D-A147-A55E4A61F73E}">
    <text xml:space="preserve">Entregue o relatorio visita </text>
  </threadedComment>
  <threadedComment ref="J23" dT="2026-02-03T15:23:55.29" personId="{BA2B435A-4CD4-48F0-8A0B-4AB3462B0793}" id="{3CFC56F5-EE93-4AD3-A7BA-EB7BB5780E16}" parentId="{CF7989B1-44EE-4A3D-A147-A55E4A61F73E}">
    <text>Qual a DBO que a estrutura existente atende?</text>
  </threadedComment>
  <threadedComment ref="J24" dT="2026-01-27T14:35:38.12" personId="{BA2B435A-4CD4-48F0-8A0B-4AB3462B0793}" id="{78E322D9-5FDE-4558-AEC0-668AB85E3382}">
    <text xml:space="preserve">ETE (processos):
Validar o planejamento se poderá utilizar módulos compactos junto com a diretoria da regional. Módulos de 10 L/s?
Deverá ter remoção de fósforo. Proj ref. Monte Alto (MBBR + Remo. Fosforo)
 </text>
  </threadedComment>
  <threadedComment ref="J25" dT="2026-01-29T17:35:01.34" personId="{BA2B435A-4CD4-48F0-8A0B-4AB3462B0793}" id="{EDB8C4AF-9B0D-49B8-B79B-A5CA2A8FB3B6}">
    <text>Verificar quais serão os saldos do contrato. 
E qual será o "save" que teremos nesse contrato.</text>
  </threadedComment>
  <threadedComment ref="J26" dT="2026-01-26T13:13:44.09" personId="{BA2B435A-4CD4-48F0-8A0B-4AB3462B0793}" id="{8DFD7DFE-0F52-4914-8F62-21CC9314CA9E}">
    <text>Indefinição da estratégia da prolagos quanto as DPEs versus a necessidade de um macroestudo da região</text>
  </threadedComment>
  <threadedComment ref="J26" dT="2026-02-02T13:04:14.33" personId="{BA2B435A-4CD4-48F0-8A0B-4AB3462B0793}" id="{A23B6F29-ED11-4DF2-8778-BD3F0673BE77}" parentId="{8DFD7DFE-0F52-4914-8F62-21CC9314CA9E}">
    <text>Recebido as DPAs e DPEs da operação, porém não veio todas as áreas do valão da marinha. Vai ser questionado. 
Rio Salgado: Pendência retorno da Prolago sobre a definição do escopo.
Palmeiras: Pendente o Elétrico para enviar ao Tiago.</text>
  </threadedComment>
  <threadedComment ref="V26" dT="2025-11-11T20:25:24.08" personId="{BA2B435A-4CD4-48F0-8A0B-4AB3462B0793}" id="{62FCBBD5-9C2D-4BA0-B240-4B0E954A83C5}">
    <text>Projeto Aditivado devido a necessidade de aumento do escopo</text>
  </threadedComment>
  <threadedComment ref="J27" dT="2026-01-26T13:11:20.72" personId="{BA2B435A-4CD4-48F0-8A0B-4AB3462B0793}" id="{65263829-7800-4F1B-BD20-530C6F983998}">
    <text>27/01 inicia o serviço de cadastramento das redes e ETE;
Pendente das entregas do estudo de sondagem - previsão até 30/01</text>
  </threadedComment>
  <threadedComment ref="J27" dT="2026-01-27T14:43:57.98" personId="{BA2B435A-4CD4-48F0-8A0B-4AB3462B0793}" id="{EB828A05-0AAC-4881-B4E9-0321F806537C}" parentId="{65263829-7800-4F1B-BD20-530C6F983998}">
    <text xml:space="preserve">Obra da ETE começa em junho/2026. </text>
  </threadedComment>
  <threadedComment ref="J27" dT="2026-02-02T13:09:00.47" personId="{BA2B435A-4CD4-48F0-8A0B-4AB3462B0793}" id="{614EEC45-20AF-4FBB-AAED-6EEE1043CEEF}" parentId="{65263829-7800-4F1B-BD20-530C6F983998}">
    <text xml:space="preserve">3 concepções: Faixa de Servidão; + elevatórias; Mixer entre a 1 e 2;
7 travessias na rodovia DER (Ponto de Atenção)
Prazo Concepção (Completo): 23/02;
Prazo Final Set/26
</text>
  </threadedComment>
  <threadedComment ref="J28" dT="2026-01-26T13:17:37.48" personId="{BA2B435A-4CD4-48F0-8A0B-4AB3462B0793}" id="{2E98C3B2-8538-4D78-91E9-98966198F57E}">
    <text>Indefinição da estratégia da prolagos quanto as DPEs versus a necessidade de um macroestudo da região.
Porém o trabalho está para finalizar em fev/26</text>
  </threadedComment>
  <threadedComment ref="J28" dT="2026-02-02T13:12:46.13" personId="{BA2B435A-4CD4-48F0-8A0B-4AB3462B0793}" id="{40BB7FA8-8D82-470A-99F8-294CDBD62561}" parentId="{2E98C3B2-8538-4D78-91E9-98966198F57E}">
    <text>Revisão do hidráulico: 05/02
Pressão fazenda lagoa</text>
  </threadedComment>
  <threadedComment ref="J29" dT="2026-01-26T13:16:54.28" personId="{BA2B435A-4CD4-48F0-8A0B-4AB3462B0793}" id="{91610F12-1353-4976-A85F-23A70015A643}">
    <text>Tangua - Entregue o estudo de concepção. 
Aguardando retorno da Andressa do estudo Vazão
Saquarema - Marilda está para entregar
Magé - Março/26</text>
  </threadedComment>
  <threadedComment ref="J29" dT="2026-02-02T13:13:26.55" personId="{BA2B435A-4CD4-48F0-8A0B-4AB3462B0793}" id="{10CC01F4-AA41-414F-B636-B7AA7BAD0BFE}" parentId="{91610F12-1353-4976-A85F-23A70015A643}">
    <text>Mantém o Status</text>
  </threadedComment>
  <threadedComment ref="J30" dT="2026-01-26T13:12:19.43" personId="{BA2B435A-4CD4-48F0-8A0B-4AB3462B0793}" id="{35CAE18B-AA1F-4BBE-B250-939EEC2E1005}">
    <text>Nilopolis - Foi entregue hidráulico e estrutural;
Mesquista - Entregue Hidráulico
Nova Iguaçu - Não foi entregue material</text>
  </threadedComment>
  <threadedComment ref="J30" dT="2026-02-02T13:13:39.47" personId="{BA2B435A-4CD4-48F0-8A0B-4AB3462B0793}" id="{A717FE39-BF89-455B-953E-31D7EBE7C252}" parentId="{35CAE18B-AA1F-4BBE-B250-939EEC2E1005}">
    <text xml:space="preserve">Mantém o Status
</text>
  </threadedComment>
  <threadedComment ref="J31" dT="2026-01-26T13:15:32.55" personId="{BA2B435A-4CD4-48F0-8A0B-4AB3462B0793}" id="{662A99C7-95EA-45C2-A957-05CCBA0A3972}">
    <text>TPS vai apresentar o estudo de concepção - fev/26.
Na concepção irá propor se será um sistema integrado ou separado por microrregiões.
Avaliar se os projetos serão feitos pelo núcleo.</text>
  </threadedComment>
  <threadedComment ref="J31" dT="2026-02-02T13:14:26.95" personId="{BA2B435A-4CD4-48F0-8A0B-4AB3462B0793}" id="{D11B62DA-D9C7-484B-A3E6-EBBB44BA951C}" parentId="{662A99C7-95EA-45C2-A957-05CCBA0A3972}">
    <text>Concepção: 06/02</text>
  </threadedComment>
  <threadedComment ref="J32" dT="2026-02-02T13:15:35.91" personId="{BA2B435A-4CD4-48F0-8A0B-4AB3462B0793}" id="{706A3A26-DBB6-4F0B-A011-39CEAEF80277}">
    <text>TR Subiu no Ariba:
NGA
TPS
ESSE
PROSERENCO
TPF</text>
  </threadedComment>
  <threadedComment ref="J33" dT="2026-02-02T13:16:39.30" personId="{BA2B435A-4CD4-48F0-8A0B-4AB3462B0793}" id="{59D85E2C-5094-4EA9-A173-33C14D0D539D}">
    <text>TR Em elaboração: 27/02</text>
  </threadedComment>
  <threadedComment ref="J34" dT="2026-02-02T13:17:30.38" personId="{BA2B435A-4CD4-48F0-8A0B-4AB3462B0793}" id="{99ECDBED-4539-47FE-920A-3252498A2F90}">
    <text xml:space="preserve">TR revisado.
Enviado ao Vagner e Wesley (Prolagos). Aguardando retorno
</text>
  </threadedComment>
  <threadedComment ref="J36" dT="2026-01-26T14:51:22.03" personId="{BA2B435A-4CD4-48F0-8A0B-4AB3462B0793}" id="{7AC68035-5876-4CA0-9593-10D504BDB7F5}">
    <text>Retirando o Digestor e substituindo por tanque de lodo. 
TDH elevado +-20 dias. CISM está revisando</text>
  </threadedComment>
  <threadedComment ref="J36" dT="2026-02-02T14:03:06.82" personId="{BA2B435A-4CD4-48F0-8A0B-4AB3462B0793}" id="{EC143600-913F-48D6-863E-FC637747380D}" parentId="{7AC68035-5876-4CA0-9593-10D504BDB7F5}">
    <text>Previsão entrega material: 06/02</text>
  </threadedComment>
  <threadedComment ref="J37" dT="2026-01-26T14:46:08.05" personId="{BA2B435A-4CD4-48F0-8A0B-4AB3462B0793}" id="{4E95B19F-2961-4D20-AAA5-8CC6C147023A}">
    <text xml:space="preserve">Alteração do ME decantador primário. 
Solicitação para mudança de ME para eee, será tratado interno antes de levar para cism
</text>
  </threadedComment>
  <threadedComment ref="J37" dT="2026-02-02T14:04:58.10" personId="{BA2B435A-4CD4-48F0-8A0B-4AB3462B0793}" id="{16F65095-78A9-4571-A006-30195A3DE217}" parentId="{4E95B19F-2961-4D20-AAA5-8CC6C147023A}">
    <text>Substituição Tq PAC para Ultravioleta</text>
  </threadedComment>
  <threadedComment ref="J38" dT="2026-01-26T14:41:18.33" personId="{BA2B435A-4CD4-48F0-8A0B-4AB3462B0793}" id="{A716E640-F1F7-4596-B34B-417EC6DC26FC}">
    <text xml:space="preserve">Há necessidade de verificar o andamento dos projetos com De Carolis </text>
  </threadedComment>
  <threadedComment ref="J38" dT="2026-02-02T14:07:04.67" personId="{BA2B435A-4CD4-48F0-8A0B-4AB3462B0793}" id="{320286E7-C038-4C1E-91F3-EBB20D93B5B5}" parentId="{A716E640-F1F7-4596-B34B-417EC6DC26FC}">
    <text>Marques São Vicente entregue
Laranjeiras: 06/02</text>
  </threadedComment>
  <threadedComment ref="J39" dT="2026-01-26T14:36:06.29" personId="{BA2B435A-4CD4-48F0-8A0B-4AB3462B0793}" id="{625F17BC-AF35-41BF-8082-53369C808670}">
    <text>4 meses para SANEARES fazer o projeto
Aditivo em andamento
Tamanho do prédio administritvo</text>
  </threadedComment>
  <threadedComment ref="J39" dT="2026-02-02T14:07:34.26" personId="{BA2B435A-4CD4-48F0-8A0B-4AB3462B0793}" id="{AAA50237-4B9F-439C-B395-051F928AD1B6}" parentId="{625F17BC-AF35-41BF-8082-53369C808670}">
    <text>Sem atualização</text>
  </threadedComment>
  <threadedComment ref="J39" dT="2026-02-03T14:47:41.02" personId="{BA2B435A-4CD4-48F0-8A0B-4AB3462B0793}" id="{A2AD026F-F3BA-4351-837D-3FB294E3E916}" parentId="{625F17BC-AF35-41BF-8082-53369C808670}">
    <text xml:space="preserve">Passar manual de operação CTS para Saneares. </text>
  </threadedComment>
  <threadedComment ref="J40" dT="2026-01-26T14:29:03.47" personId="{BA2B435A-4CD4-48F0-8A0B-4AB3462B0793}" id="{348CE1DA-F528-42DC-BC74-E92D48EED77B}">
    <text>Valor com Daniel e o Rodrigo Cotta, verificar se eles estão confortáveis com a operação Dorr Oliver</text>
  </threadedComment>
  <threadedComment ref="J40" dT="2026-01-26T14:30:52.84" personId="{BA2B435A-4CD4-48F0-8A0B-4AB3462B0793}" id="{BD9B8FA5-C8C8-48E0-BBD2-B48592432C4C}" parentId="{348CE1DA-F528-42DC-BC74-E92D48EED77B}">
    <text xml:space="preserve">Engecorps solicitou reunião para reiniciar o projeto
</text>
  </threadedComment>
  <threadedComment ref="J40" dT="2026-01-26T14:31:31.29" personId="{BA2B435A-4CD4-48F0-8A0B-4AB3462B0793}" id="{6168F406-5BB9-40F5-A593-48346C77580C}" parentId="{348CE1DA-F528-42DC-BC74-E92D48EED77B}">
    <text>Confirmar o volume de LF que vai receber.</text>
  </threadedComment>
  <threadedComment ref="J40" dT="2026-02-02T14:11:29.33" personId="{BA2B435A-4CD4-48F0-8A0B-4AB3462B0793}" id="{55322918-E00C-4B97-9919-8420A9EBF2DE}" parentId="{348CE1DA-F528-42DC-BC74-E92D48EED77B}">
    <text xml:space="preserve">Validar a vazão de entregada da ETE com a operação. </text>
  </threadedComment>
  <threadedComment ref="J41" dT="2026-01-26T14:09:54.02" personId="{BA2B435A-4CD4-48F0-8A0B-4AB3462B0793}" id="{0B4277E3-96F5-4078-A26F-F1551BF14BCD}">
    <text>Estudo Transiente (29) - Sem aprovação, 6 estudos com o time de modelagem para analisar. Envio de em 3 em 3 estudos para analise.
Projeto de automação - divergência com a versão do plano diretor da aegea.
Travessias - Washigton Luiz: não finalizado pela sondotécnica (2026). CTS. São 3 travessias perpendiculares + 5 uso de faixa de domínio. 
BR040 - 2 travessias + 3 faixa de domínio</text>
  </threadedComment>
  <threadedComment ref="J41" dT="2026-02-02T14:13:13.62" personId="{BA2B435A-4CD4-48F0-8A0B-4AB3462B0793}" id="{A481D93E-B0E9-49F8-BC34-5EEF1BDD5217}" parentId="{0B4277E3-96F5-4078-A26F-F1551BF14BCD}">
    <text xml:space="preserve">Automação - Avaliação Sondotécnica
Estudo Transiente (29) - Sem aprovação;
Travessia: Enviado para equipe de obras
</text>
  </threadedComment>
  <threadedComment ref="J42" dT="2026-01-26T14:41:51.63" personId="{BA2B435A-4CD4-48F0-8A0B-4AB3462B0793}" id="{C5FE626B-2D2F-459B-9240-395F21809B26}">
    <text>Discussão da vazão sanitaria x vazão pluvial</text>
  </threadedComment>
  <threadedComment ref="J42" dT="2026-02-02T14:13:44.43" personId="{BA2B435A-4CD4-48F0-8A0B-4AB3462B0793}" id="{B7E1936D-FAD8-44A8-8861-CDA7C169D320}" parentId="{C5FE626B-2D2F-459B-9240-395F21809B26}">
    <text>Reunião Saneares x Modelagem - 05/02</text>
  </threadedComment>
  <threadedComment ref="J43" dT="2026-01-26T14:14:49.12" personId="{BA2B435A-4CD4-48F0-8A0B-4AB3462B0793}" id="{29598F6D-0C94-464E-A015-EA8E6A1BF635}">
    <text>Belford Roxo - finalizado topografia
São Gonçalo - iniciando a topografia
Duque de Caxias - divergência de vazão entre versões entre documento (70l/s) no sistema Farias. CTS primeira etapa.
Segunda etapa não entregou calumbé e saracuruna, precisa chegar 350 l/s.</text>
  </threadedComment>
  <threadedComment ref="J43" dT="2026-02-02T14:18:28.61" personId="{BA2B435A-4CD4-48F0-8A0B-4AB3462B0793}" id="{ECC0052A-A61F-4536-8E12-6016389D9B25}" parentId="{29598F6D-0C94-464E-A015-EA8E6A1BF635}">
    <text>DC - Entregue Coletores e RCE Columbé
BR - Iniciando os projetos
SG - Apollo, Jardim Catarina entrega
EEE Apollo e JC serao entregues
E Alcatara falta o projeto inteiro</text>
  </threadedComment>
  <threadedComment ref="J44" dT="2026-01-26T14:16:33.22" personId="{BA2B435A-4CD4-48F0-8A0B-4AB3462B0793}" id="{1053CAF2-9D2E-4129-929A-6E5FB2DA86B3}">
    <text>Transiente - tentativa de aprovação para bacia 11 e replicar para as demais.
Automação - aguardando a revisão do projeto da cism
4x EEE &gt; 85 l/s. 2 delas são CTS</text>
  </threadedComment>
  <threadedComment ref="J44" dT="2026-02-02T14:19:28.27" personId="{BA2B435A-4CD4-48F0-8A0B-4AB3462B0793}" id="{1F1CE672-4D5F-4CF4-84A7-8F5F5322701C}" parentId="{1053CAF2-9D2E-4129-929A-6E5FB2DA86B3}">
    <text>Avaliação Modelagem entrega: 04/02</text>
  </threadedComment>
  <threadedComment ref="I45" dT="2025-12-08T18:06:30.74" personId="{5F1EBE5D-35DF-4BC5-A9C2-2F29CF621EE8}" id="{EA088E06-0AB7-4B67-9BEC-F0323EFE3B62}">
    <text>Coloquei 2"." porque o BI não contabilizou 2 projetos diferentes.</text>
  </threadedComment>
  <threadedComment ref="J45" dT="2026-01-26T14:43:25.70" personId="{BA2B435A-4CD4-48F0-8A0B-4AB3462B0793}" id="{D3946903-2DFF-4FE3-B420-4864066D6D91}">
    <text xml:space="preserve">Sistema barro vermelho está em revisão. Está com Mario para devolutiva. </text>
  </threadedComment>
  <threadedComment ref="J45" dT="2026-02-02T14:20:54.94" personId="{BA2B435A-4CD4-48F0-8A0B-4AB3462B0793}" id="{4958EE2F-2278-4F93-B85F-1407C2110F02}" parentId="{D3946903-2DFF-4FE3-B420-4864066D6D91}">
    <text>Revisões Entregues</text>
  </threadedComment>
  <threadedComment ref="J47" dT="2026-01-26T14:33:26.63" personId="{BA2B435A-4CD4-48F0-8A0B-4AB3462B0793}" id="{C5653E35-F60C-4848-9854-7471226C13B4}">
    <text>Hidraulico - Digestor +2 elevatoria (recirculação + interna)
Projetos complementares iniciando pela CONEM (aprovação do hidráulico - 2 semanas)</text>
  </threadedComment>
  <threadedComment ref="J47" dT="2026-01-26T14:35:23.94" personId="{BA2B435A-4CD4-48F0-8A0B-4AB3462B0793}" id="{46377266-140E-4F42-878D-33FC877E8438}" parentId="{C5653E35-F60C-4848-9854-7471226C13B4}">
    <text>Manual de operação em avaliação com OPEX</text>
  </threadedComment>
  <threadedComment ref="J47" dT="2026-02-02T14:22:17.71" personId="{BA2B435A-4CD4-48F0-8A0B-4AB3462B0793}" id="{0D40372B-C1CF-499B-92AD-1F3E13257ACA}" parentId="{C5653E35-F60C-4848-9854-7471226C13B4}">
    <text>Prédio de Lodo - Processos - 03/02 (Hidráulico)
Manual de Operação - em avaliação</text>
  </threadedComment>
  <threadedComment ref="J48" dT="2026-01-26T14:40:00.85" personId="{BA2B435A-4CD4-48F0-8A0B-4AB3462B0793}" id="{66797A67-5B62-4EAD-A1B6-72B0FD60FFF1}">
    <text xml:space="preserve">Estudo de alternativa interno com referência a ETE Los Angeles e estudo LAC realizado pela CISM
</text>
  </threadedComment>
  <threadedComment ref="J48" dT="2026-01-27T14:53:20.75" personId="{BA2B435A-4CD4-48F0-8A0B-4AB3462B0793}" id="{3D5D2214-20FC-4C8D-96B6-D2E212E4A052}" parentId="{66797A67-5B62-4EAD-A1B6-72B0FD60FFF1}">
    <text>É para considerar a área existente ou não?</text>
  </threadedComment>
  <threadedComment ref="J48" dT="2026-01-27T14:55:05.96" personId="{BA2B435A-4CD4-48F0-8A0B-4AB3462B0793}" id="{45699B49-B687-4275-85BE-3D9290379EC9}" parentId="{66797A67-5B62-4EAD-A1B6-72B0FD60FFF1}">
    <text>Los Angeles, fósforo = 0,3
Orquidea = 4</text>
  </threadedComment>
  <threadedComment ref="J48" dT="2026-01-27T14:55:49.19" personId="{BA2B435A-4CD4-48F0-8A0B-4AB3462B0793}" id="{A3F855CF-7953-4A1B-A6AB-A8C53B6BE028}" parentId="{66797A67-5B62-4EAD-A1B6-72B0FD60FFF1}">
    <text xml:space="preserve">Marcar uma reunião Projeto x Processo. 
</text>
  </threadedComment>
  <threadedComment ref="J48" dT="2026-02-03T14:55:44.22" personId="{BA2B435A-4CD4-48F0-8A0B-4AB3462B0793}" id="{EEE5BDCF-0AD1-4FEB-A60F-100D54AABD03}" parentId="{66797A67-5B62-4EAD-A1B6-72B0FD60FFF1}">
    <text xml:space="preserve">Fundiário não está achando a documentação. 
Verificar com Samuel se vamos seguir com a área para projeto. </text>
  </threadedComment>
  <threadedComment ref="J48" dT="2026-02-03T15:01:23.56" personId="{BA2B435A-4CD4-48F0-8A0B-4AB3462B0793}" id="{F13B1CA5-2812-4604-89AD-65B9757CB17F}" parentId="{66797A67-5B62-4EAD-A1B6-72B0FD60FFF1}">
    <text xml:space="preserve">Qual parametro foi utilizado na concepção e o que tem agora?
</text>
  </threadedComment>
  <threadedComment ref="J84" dT="2026-02-02T13:20:59.86" personId="{BA2B435A-4CD4-48F0-8A0B-4AB3462B0793}" id="{38488027-A8EF-449C-85AB-3594D1C91A4B}">
    <text>TR: 13/03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8A463-47F8-4C5F-A62E-F369E3DDE742}">
  <dimension ref="A1:H8"/>
  <sheetViews>
    <sheetView workbookViewId="0">
      <selection activeCell="C37" sqref="C37"/>
    </sheetView>
  </sheetViews>
  <sheetFormatPr defaultRowHeight="15"/>
  <cols>
    <col min="1" max="1" width="14" bestFit="1" customWidth="1"/>
    <col min="2" max="2" width="12.140625" bestFit="1" customWidth="1"/>
    <col min="3" max="3" width="12.42578125" bestFit="1" customWidth="1"/>
    <col min="4" max="4" width="31.42578125" bestFit="1" customWidth="1"/>
    <col min="5" max="5" width="11.7109375" bestFit="1" customWidth="1"/>
    <col min="6" max="6" width="75.5703125" bestFit="1" customWidth="1"/>
    <col min="7" max="7" width="15.5703125" bestFit="1" customWidth="1"/>
    <col min="8" max="8" width="15.7109375" bestFit="1" customWidth="1"/>
  </cols>
  <sheetData>
    <row r="1" spans="1:8" s="3" customFormat="1">
      <c r="A1" s="3" t="s">
        <v>502</v>
      </c>
      <c r="B1" s="3" t="s">
        <v>0</v>
      </c>
      <c r="C1" s="3" t="s">
        <v>566</v>
      </c>
      <c r="D1" s="3" t="s">
        <v>567</v>
      </c>
      <c r="E1" s="3" t="s">
        <v>568</v>
      </c>
      <c r="F1" s="3" t="s">
        <v>569</v>
      </c>
      <c r="G1" s="3" t="s">
        <v>570</v>
      </c>
      <c r="H1" s="3" t="s">
        <v>571</v>
      </c>
    </row>
    <row r="2" spans="1:8" s="3" customFormat="1">
      <c r="A2" s="3" t="s">
        <v>527</v>
      </c>
      <c r="B2" s="3" t="s">
        <v>474</v>
      </c>
      <c r="C2" s="82">
        <v>46023</v>
      </c>
      <c r="D2" s="3" t="s">
        <v>582</v>
      </c>
      <c r="E2" s="3">
        <v>1</v>
      </c>
      <c r="F2" s="3" t="s">
        <v>583</v>
      </c>
      <c r="G2" s="83">
        <v>46050</v>
      </c>
      <c r="H2" s="3" t="s">
        <v>586</v>
      </c>
    </row>
    <row r="3" spans="1:8" s="3" customFormat="1">
      <c r="A3" s="3" t="s">
        <v>527</v>
      </c>
      <c r="B3" s="3" t="s">
        <v>474</v>
      </c>
      <c r="C3" s="82">
        <v>46023</v>
      </c>
      <c r="D3" s="3" t="s">
        <v>582</v>
      </c>
      <c r="E3" s="3">
        <v>2</v>
      </c>
      <c r="F3" s="3" t="s">
        <v>584</v>
      </c>
      <c r="G3" s="83">
        <v>46050</v>
      </c>
      <c r="H3" s="3" t="s">
        <v>586</v>
      </c>
    </row>
    <row r="4" spans="1:8" s="3" customFormat="1">
      <c r="A4" s="3" t="s">
        <v>527</v>
      </c>
      <c r="B4" s="3" t="s">
        <v>474</v>
      </c>
      <c r="C4" s="82">
        <v>46023</v>
      </c>
      <c r="D4" s="3" t="s">
        <v>582</v>
      </c>
      <c r="E4" s="3">
        <v>3</v>
      </c>
      <c r="F4" s="3" t="s">
        <v>585</v>
      </c>
      <c r="G4" s="83">
        <v>46050</v>
      </c>
      <c r="H4" s="3" t="s">
        <v>586</v>
      </c>
    </row>
    <row r="5" spans="1:8">
      <c r="A5" s="3" t="s">
        <v>527</v>
      </c>
      <c r="B5" s="3" t="s">
        <v>474</v>
      </c>
      <c r="C5" s="82">
        <v>46023</v>
      </c>
      <c r="D5" s="3" t="s">
        <v>591</v>
      </c>
      <c r="E5" s="3">
        <v>1</v>
      </c>
      <c r="F5" s="3" t="s">
        <v>587</v>
      </c>
      <c r="G5" s="83">
        <v>46050</v>
      </c>
      <c r="H5" s="3" t="s">
        <v>586</v>
      </c>
    </row>
    <row r="6" spans="1:8">
      <c r="A6" s="3" t="s">
        <v>527</v>
      </c>
      <c r="B6" s="3" t="s">
        <v>474</v>
      </c>
      <c r="C6" s="82">
        <v>46023</v>
      </c>
      <c r="D6" s="3" t="s">
        <v>591</v>
      </c>
      <c r="E6" s="3">
        <v>2</v>
      </c>
      <c r="F6" s="3" t="s">
        <v>588</v>
      </c>
      <c r="G6" s="83">
        <v>46050</v>
      </c>
      <c r="H6" s="3" t="s">
        <v>586</v>
      </c>
    </row>
    <row r="7" spans="1:8">
      <c r="A7" s="3" t="s">
        <v>527</v>
      </c>
      <c r="B7" s="3" t="s">
        <v>474</v>
      </c>
      <c r="C7" s="82">
        <v>46023</v>
      </c>
      <c r="D7" s="3" t="s">
        <v>591</v>
      </c>
      <c r="E7" s="3">
        <v>3</v>
      </c>
      <c r="F7" s="3" t="s">
        <v>589</v>
      </c>
      <c r="G7" s="83">
        <v>46050</v>
      </c>
      <c r="H7" s="3" t="s">
        <v>586</v>
      </c>
    </row>
    <row r="8" spans="1:8">
      <c r="A8" s="3" t="s">
        <v>527</v>
      </c>
      <c r="B8" s="3" t="s">
        <v>474</v>
      </c>
      <c r="C8" s="82">
        <v>46023</v>
      </c>
      <c r="D8" s="3" t="s">
        <v>592</v>
      </c>
      <c r="E8" s="3">
        <v>1</v>
      </c>
      <c r="F8" s="3" t="s">
        <v>590</v>
      </c>
      <c r="G8" s="83">
        <v>46050</v>
      </c>
      <c r="H8" s="3" t="s">
        <v>586</v>
      </c>
    </row>
  </sheetData>
  <dataValidations count="1">
    <dataValidation type="list" allowBlank="1" showInputMessage="1" showErrorMessage="1" sqref="D2:D8" xr:uid="{0824DA20-3D73-4230-AB3F-4D43AADB9167}">
      <formula1>"Próximos Passos, Avanço do Período, Principais Questões Identificadas"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57DBD-0B6B-409D-A938-53B50EA643AF}">
  <dimension ref="A1:AU181"/>
  <sheetViews>
    <sheetView tabSelected="1" zoomScaleNormal="100" workbookViewId="0">
      <pane xSplit="9" ySplit="1" topLeftCell="AO41" activePane="bottomRight" state="frozenSplit"/>
      <selection pane="topRight" activeCell="H1" sqref="H1"/>
      <selection pane="bottomLeft" activeCell="F53" sqref="F53"/>
      <selection pane="bottomRight" activeCell="C51" sqref="C51"/>
    </sheetView>
  </sheetViews>
  <sheetFormatPr defaultColWidth="9.140625" defaultRowHeight="15.75" outlineLevelCol="1"/>
  <cols>
    <col min="1" max="2" width="16.28515625" style="1" customWidth="1" outlineLevel="1"/>
    <col min="3" max="4" width="16.42578125" style="1" customWidth="1" outlineLevel="1"/>
    <col min="5" max="5" width="14.28515625" style="1" customWidth="1" outlineLevel="1"/>
    <col min="6" max="6" width="16.28515625" style="1" customWidth="1" outlineLevel="1"/>
    <col min="7" max="8" width="16.28515625" style="1" customWidth="1"/>
    <col min="9" max="9" width="35" style="1" customWidth="1"/>
    <col min="10" max="10" width="100.140625" style="1" customWidth="1"/>
    <col min="11" max="11" width="17.42578125" style="48" bestFit="1" customWidth="1"/>
    <col min="12" max="12" width="17.42578125" style="48" customWidth="1"/>
    <col min="13" max="13" width="11.140625" style="48" bestFit="1" customWidth="1"/>
    <col min="14" max="14" width="15.42578125" style="1" customWidth="1"/>
    <col min="15" max="15" width="12.140625" style="48" customWidth="1"/>
    <col min="16" max="18" width="12.140625" style="1" customWidth="1"/>
    <col min="19" max="20" width="13.7109375" style="1" customWidth="1"/>
    <col min="21" max="21" width="24.140625" style="1" bestFit="1" customWidth="1"/>
    <col min="22" max="23" width="14.5703125" style="1" bestFit="1" customWidth="1"/>
    <col min="24" max="24" width="21.7109375" style="1" bestFit="1" customWidth="1"/>
    <col min="25" max="25" width="19.140625" style="30" bestFit="1" customWidth="1"/>
    <col min="26" max="26" width="15.42578125" style="1" customWidth="1"/>
    <col min="27" max="27" width="21.42578125" style="48" bestFit="1" customWidth="1"/>
    <col min="28" max="30" width="21.42578125" style="48" customWidth="1"/>
    <col min="31" max="31" width="18.7109375" style="48" bestFit="1" customWidth="1"/>
    <col min="32" max="32" width="18.7109375" style="48" customWidth="1"/>
    <col min="33" max="33" width="29.140625" style="48" customWidth="1"/>
    <col min="34" max="34" width="13.28515625" style="48" customWidth="1"/>
    <col min="35" max="35" width="17.140625" style="48" bestFit="1" customWidth="1"/>
    <col min="36" max="36" width="20" style="48" customWidth="1"/>
    <col min="37" max="37" width="16.7109375" style="48" customWidth="1"/>
    <col min="38" max="39" width="9.140625" style="1"/>
    <col min="40" max="40" width="14.28515625" style="48" customWidth="1"/>
    <col min="41" max="41" width="16.85546875" style="30" customWidth="1"/>
    <col min="42" max="43" width="8.5703125"/>
    <col min="44" max="44" width="14.28515625" style="1" customWidth="1"/>
    <col min="45" max="45" width="14.42578125" style="1" customWidth="1"/>
    <col min="46" max="46" width="25.7109375" style="1" bestFit="1" customWidth="1"/>
    <col min="47" max="47" width="11.5703125" style="1" bestFit="1" customWidth="1"/>
    <col min="48" max="16384" width="9.140625" style="1"/>
  </cols>
  <sheetData>
    <row r="1" spans="1:47" s="2" customFormat="1" ht="45.75" customHeight="1">
      <c r="A1" s="20" t="s">
        <v>502</v>
      </c>
      <c r="B1" s="20" t="s">
        <v>282</v>
      </c>
      <c r="C1" s="20" t="s">
        <v>707</v>
      </c>
      <c r="D1" s="20" t="s">
        <v>708</v>
      </c>
      <c r="E1" s="20" t="s">
        <v>69</v>
      </c>
      <c r="F1" s="20" t="s">
        <v>456</v>
      </c>
      <c r="G1" s="20" t="s">
        <v>593</v>
      </c>
      <c r="H1" s="20" t="s">
        <v>704</v>
      </c>
      <c r="I1" s="20" t="s">
        <v>0</v>
      </c>
      <c r="J1" s="20" t="s">
        <v>70</v>
      </c>
      <c r="K1" s="20" t="s">
        <v>563</v>
      </c>
      <c r="L1" s="20" t="s">
        <v>562</v>
      </c>
      <c r="M1" s="20" t="s">
        <v>561</v>
      </c>
      <c r="N1" s="20" t="s">
        <v>1</v>
      </c>
      <c r="O1" s="20" t="s">
        <v>281</v>
      </c>
      <c r="P1" s="20" t="s">
        <v>286</v>
      </c>
      <c r="Q1" s="20" t="s">
        <v>284</v>
      </c>
      <c r="R1" s="20" t="s">
        <v>285</v>
      </c>
      <c r="S1" s="20" t="s">
        <v>3</v>
      </c>
      <c r="T1" s="20" t="s">
        <v>4</v>
      </c>
      <c r="U1" s="20" t="s">
        <v>289</v>
      </c>
      <c r="V1" s="20" t="s">
        <v>8</v>
      </c>
      <c r="W1" s="20" t="s">
        <v>9</v>
      </c>
      <c r="X1" s="20" t="s">
        <v>288</v>
      </c>
      <c r="Y1" s="29" t="s">
        <v>287</v>
      </c>
      <c r="Z1" s="29" t="s">
        <v>430</v>
      </c>
      <c r="AA1" s="29" t="s">
        <v>435</v>
      </c>
      <c r="AB1" s="29" t="s">
        <v>436</v>
      </c>
      <c r="AC1" s="29" t="s">
        <v>433</v>
      </c>
      <c r="AD1" s="29" t="s">
        <v>434</v>
      </c>
      <c r="AE1" s="29" t="s">
        <v>440</v>
      </c>
      <c r="AF1" s="29" t="s">
        <v>441</v>
      </c>
      <c r="AG1" s="29" t="s">
        <v>431</v>
      </c>
      <c r="AH1" s="55" t="s">
        <v>432</v>
      </c>
      <c r="AI1" s="29" t="s">
        <v>437</v>
      </c>
      <c r="AJ1" s="29" t="s">
        <v>439</v>
      </c>
      <c r="AK1" s="29" t="s">
        <v>438</v>
      </c>
      <c r="AL1" s="55" t="s">
        <v>444</v>
      </c>
      <c r="AM1" s="55" t="s">
        <v>445</v>
      </c>
      <c r="AN1" s="55" t="s">
        <v>442</v>
      </c>
      <c r="AO1" s="29" t="s">
        <v>443</v>
      </c>
      <c r="AP1" s="29" t="s">
        <v>446</v>
      </c>
      <c r="AQ1" s="29" t="s">
        <v>447</v>
      </c>
      <c r="AR1" s="29" t="s">
        <v>448</v>
      </c>
      <c r="AS1" s="29" t="s">
        <v>449</v>
      </c>
      <c r="AT1" s="29" t="s">
        <v>565</v>
      </c>
      <c r="AU1" s="2" t="s">
        <v>564</v>
      </c>
    </row>
    <row r="2" spans="1:47">
      <c r="A2" s="34" t="s">
        <v>503</v>
      </c>
      <c r="B2" s="34" t="s">
        <v>283</v>
      </c>
      <c r="C2" s="22" t="s">
        <v>96</v>
      </c>
      <c r="D2" s="22"/>
      <c r="E2" s="45" t="s">
        <v>134</v>
      </c>
      <c r="F2" s="22" t="s">
        <v>462</v>
      </c>
      <c r="G2" s="22" t="s">
        <v>594</v>
      </c>
      <c r="H2" s="22"/>
      <c r="I2" s="45" t="s">
        <v>154</v>
      </c>
      <c r="J2" s="22" t="s">
        <v>100</v>
      </c>
      <c r="K2" s="34">
        <v>0</v>
      </c>
      <c r="L2" s="34"/>
      <c r="M2" s="34" t="s">
        <v>501</v>
      </c>
      <c r="N2" s="23">
        <v>0.44</v>
      </c>
      <c r="O2" s="24" t="s">
        <v>6</v>
      </c>
      <c r="P2" s="33"/>
      <c r="Q2" s="25"/>
      <c r="R2" s="25"/>
      <c r="S2" s="25">
        <v>46023</v>
      </c>
      <c r="T2" s="25">
        <v>46138</v>
      </c>
      <c r="U2" s="26">
        <v>1.06</v>
      </c>
      <c r="V2" s="26">
        <v>0</v>
      </c>
      <c r="W2" s="26">
        <v>-0.48</v>
      </c>
      <c r="X2" s="26">
        <f>SUM(Tabela1[[#This Row],[Previsto Contrato (R$MM)]:[Medido (R$MM)]])</f>
        <v>0.58000000000000007</v>
      </c>
      <c r="Y2" s="31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</row>
    <row r="3" spans="1:47">
      <c r="A3" s="34" t="s">
        <v>504</v>
      </c>
      <c r="B3" s="34" t="s">
        <v>283</v>
      </c>
      <c r="C3" s="22" t="s">
        <v>96</v>
      </c>
      <c r="D3" s="22"/>
      <c r="E3" s="45" t="s">
        <v>95</v>
      </c>
      <c r="F3" s="22" t="s">
        <v>457</v>
      </c>
      <c r="G3" s="22" t="s">
        <v>595</v>
      </c>
      <c r="H3" s="22"/>
      <c r="I3" s="45" t="s">
        <v>153</v>
      </c>
      <c r="J3" s="22" t="s">
        <v>97</v>
      </c>
      <c r="K3" s="34">
        <v>0</v>
      </c>
      <c r="L3" s="34"/>
      <c r="M3" s="34" t="s">
        <v>501</v>
      </c>
      <c r="N3" s="23">
        <v>0.7</v>
      </c>
      <c r="O3" s="24" t="s">
        <v>7</v>
      </c>
      <c r="P3" s="33"/>
      <c r="Q3" s="25"/>
      <c r="R3" s="25"/>
      <c r="S3" s="25">
        <v>46022</v>
      </c>
      <c r="T3" s="25">
        <v>46022</v>
      </c>
      <c r="U3" s="26">
        <v>1.97</v>
      </c>
      <c r="V3" s="26">
        <v>0</v>
      </c>
      <c r="W3" s="26">
        <v>-1.31</v>
      </c>
      <c r="X3" s="26">
        <f>SUM(Tabela1[[#This Row],[Previsto Contrato (R$MM)]:[Medido (R$MM)]])</f>
        <v>0.65999999999999992</v>
      </c>
      <c r="Y3" s="31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</row>
    <row r="4" spans="1:47">
      <c r="A4" s="34" t="s">
        <v>505</v>
      </c>
      <c r="B4" s="34" t="s">
        <v>283</v>
      </c>
      <c r="C4" s="22" t="s">
        <v>96</v>
      </c>
      <c r="D4" s="22"/>
      <c r="E4" s="45" t="s">
        <v>75</v>
      </c>
      <c r="F4" s="22" t="s">
        <v>462</v>
      </c>
      <c r="G4" s="22" t="s">
        <v>22</v>
      </c>
      <c r="H4" s="22"/>
      <c r="I4" s="45" t="s">
        <v>156</v>
      </c>
      <c r="J4" s="22" t="s">
        <v>92</v>
      </c>
      <c r="K4" s="34">
        <v>0</v>
      </c>
      <c r="L4" s="34"/>
      <c r="M4" s="34" t="s">
        <v>501</v>
      </c>
      <c r="N4" s="23">
        <v>0.9</v>
      </c>
      <c r="O4" s="24" t="s">
        <v>5</v>
      </c>
      <c r="P4" s="33"/>
      <c r="Q4" s="25"/>
      <c r="R4" s="25"/>
      <c r="S4" s="25">
        <v>46022</v>
      </c>
      <c r="T4" s="25">
        <v>46021</v>
      </c>
      <c r="U4" s="26">
        <v>0.73</v>
      </c>
      <c r="V4" s="26">
        <v>0</v>
      </c>
      <c r="W4" s="26">
        <v>-0.57999999999999996</v>
      </c>
      <c r="X4" s="26">
        <f>SUM(Tabela1[[#This Row],[Previsto Contrato (R$MM)]:[Medido (R$MM)]])</f>
        <v>0.15000000000000002</v>
      </c>
      <c r="Y4" s="31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</row>
    <row r="5" spans="1:47">
      <c r="A5" s="34" t="s">
        <v>506</v>
      </c>
      <c r="B5" s="34" t="s">
        <v>283</v>
      </c>
      <c r="C5" s="22" t="s">
        <v>96</v>
      </c>
      <c r="D5" s="22"/>
      <c r="E5" s="45" t="s">
        <v>98</v>
      </c>
      <c r="F5" s="22" t="s">
        <v>458</v>
      </c>
      <c r="G5" s="22" t="s">
        <v>595</v>
      </c>
      <c r="H5" s="22"/>
      <c r="I5" s="45" t="s">
        <v>152</v>
      </c>
      <c r="J5" s="22" t="s">
        <v>99</v>
      </c>
      <c r="K5" s="34">
        <v>0</v>
      </c>
      <c r="L5" s="34"/>
      <c r="M5" s="34" t="s">
        <v>501</v>
      </c>
      <c r="N5" s="23">
        <v>0.67</v>
      </c>
      <c r="O5" s="24" t="s">
        <v>5</v>
      </c>
      <c r="P5" s="33"/>
      <c r="Q5" s="25"/>
      <c r="R5" s="25"/>
      <c r="S5" s="25">
        <v>46163</v>
      </c>
      <c r="T5" s="25">
        <v>46163</v>
      </c>
      <c r="U5" s="26">
        <v>5.86</v>
      </c>
      <c r="V5" s="26">
        <v>0</v>
      </c>
      <c r="W5" s="26">
        <v>-3.57</v>
      </c>
      <c r="X5" s="26">
        <f>SUM(Tabela1[[#This Row],[Previsto Contrato (R$MM)]:[Medido (R$MM)]])</f>
        <v>2.2900000000000005</v>
      </c>
      <c r="Y5" s="31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</row>
    <row r="6" spans="1:47">
      <c r="A6" s="34" t="s">
        <v>507</v>
      </c>
      <c r="B6" s="34" t="s">
        <v>293</v>
      </c>
      <c r="C6" s="22" t="s">
        <v>96</v>
      </c>
      <c r="D6" s="22"/>
      <c r="E6" s="45"/>
      <c r="F6" s="22" t="s">
        <v>462</v>
      </c>
      <c r="G6" s="22" t="s">
        <v>596</v>
      </c>
      <c r="H6" s="22"/>
      <c r="I6" s="45" t="s">
        <v>599</v>
      </c>
      <c r="J6" s="22" t="s">
        <v>498</v>
      </c>
      <c r="K6" s="34">
        <v>0</v>
      </c>
      <c r="L6" s="34"/>
      <c r="M6" s="34" t="s">
        <v>501</v>
      </c>
      <c r="N6" s="23">
        <v>0</v>
      </c>
      <c r="O6" s="24" t="s">
        <v>7</v>
      </c>
      <c r="P6" s="33"/>
      <c r="Q6" s="25"/>
      <c r="R6" s="25"/>
      <c r="S6" s="25"/>
      <c r="T6" s="25"/>
      <c r="U6" s="26">
        <v>1.5</v>
      </c>
      <c r="V6" s="26">
        <v>0</v>
      </c>
      <c r="W6" s="26"/>
      <c r="X6" s="26">
        <f>SUM(Tabela1[[#This Row],[Previsto Contrato (R$MM)]:[Medido (R$MM)]])</f>
        <v>1.5</v>
      </c>
      <c r="Y6" s="31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</row>
    <row r="7" spans="1:47" hidden="1">
      <c r="A7" s="34" t="s">
        <v>508</v>
      </c>
      <c r="B7" s="34" t="s">
        <v>283</v>
      </c>
      <c r="C7" s="22" t="s">
        <v>96</v>
      </c>
      <c r="D7" s="22"/>
      <c r="E7" s="45"/>
      <c r="F7" s="22" t="s">
        <v>463</v>
      </c>
      <c r="G7" s="22" t="s">
        <v>596</v>
      </c>
      <c r="H7" s="22"/>
      <c r="I7" s="45" t="s">
        <v>600</v>
      </c>
      <c r="J7" s="22" t="s">
        <v>291</v>
      </c>
      <c r="K7" s="22"/>
      <c r="L7" s="22"/>
      <c r="M7" s="22"/>
      <c r="N7" s="23">
        <v>1</v>
      </c>
      <c r="O7" s="24" t="s">
        <v>37</v>
      </c>
      <c r="P7" s="33"/>
      <c r="Q7" s="25"/>
      <c r="R7" s="25"/>
      <c r="S7" s="25">
        <v>45868</v>
      </c>
      <c r="T7" s="25">
        <v>45731</v>
      </c>
      <c r="U7" s="26">
        <v>4</v>
      </c>
      <c r="V7" s="26">
        <v>0</v>
      </c>
      <c r="W7" s="26">
        <v>-2.25</v>
      </c>
      <c r="X7" s="26">
        <f>SUM(Tabela1[[#This Row],[Previsto Contrato (R$MM)]:[Medido (R$MM)]])</f>
        <v>1.75</v>
      </c>
      <c r="Y7" s="31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</row>
    <row r="8" spans="1:47">
      <c r="A8" s="34" t="s">
        <v>509</v>
      </c>
      <c r="B8" s="34" t="s">
        <v>290</v>
      </c>
      <c r="C8" s="22" t="s">
        <v>96</v>
      </c>
      <c r="D8" s="22"/>
      <c r="E8" s="45"/>
      <c r="F8" s="22"/>
      <c r="G8" s="22" t="s">
        <v>20</v>
      </c>
      <c r="H8" s="22"/>
      <c r="I8" s="45" t="s">
        <v>601</v>
      </c>
      <c r="J8" s="22" t="s">
        <v>291</v>
      </c>
      <c r="K8" s="22"/>
      <c r="L8" s="22"/>
      <c r="M8" s="22"/>
      <c r="N8" s="23">
        <v>0</v>
      </c>
      <c r="O8" s="24" t="s">
        <v>5</v>
      </c>
      <c r="P8" s="33"/>
      <c r="Q8" s="25"/>
      <c r="R8" s="25"/>
      <c r="S8" s="25"/>
      <c r="T8" s="25"/>
      <c r="U8" s="26"/>
      <c r="V8" s="26"/>
      <c r="W8" s="26"/>
      <c r="X8" s="26">
        <f>SUM(Tabela1[[#This Row],[Previsto Contrato (R$MM)]:[Medido (R$MM)]])</f>
        <v>0</v>
      </c>
      <c r="Y8" s="31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</row>
    <row r="9" spans="1:47">
      <c r="A9" s="34" t="s">
        <v>510</v>
      </c>
      <c r="B9" s="34" t="s">
        <v>290</v>
      </c>
      <c r="C9" s="22" t="s">
        <v>96</v>
      </c>
      <c r="D9" s="22"/>
      <c r="E9" s="45"/>
      <c r="F9" s="22"/>
      <c r="G9" s="22" t="s">
        <v>20</v>
      </c>
      <c r="H9" s="22"/>
      <c r="I9" s="45" t="s">
        <v>499</v>
      </c>
      <c r="J9" s="22" t="s">
        <v>291</v>
      </c>
      <c r="K9" s="22"/>
      <c r="L9" s="22"/>
      <c r="M9" s="22"/>
      <c r="N9" s="23">
        <v>0</v>
      </c>
      <c r="O9" s="24" t="s">
        <v>5</v>
      </c>
      <c r="P9" s="33"/>
      <c r="Q9" s="25"/>
      <c r="R9" s="25"/>
      <c r="S9" s="25"/>
      <c r="T9" s="25"/>
      <c r="U9" s="26"/>
      <c r="V9" s="26"/>
      <c r="W9" s="26"/>
      <c r="X9" s="26">
        <f>SUM(Tabela1[[#This Row],[Previsto Contrato (R$MM)]:[Medido (R$MM)]])</f>
        <v>0</v>
      </c>
      <c r="Y9" s="31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</row>
    <row r="10" spans="1:47" s="66" customFormat="1" hidden="1">
      <c r="A10" s="34" t="s">
        <v>511</v>
      </c>
      <c r="B10" s="34" t="s">
        <v>283</v>
      </c>
      <c r="C10" s="22" t="s">
        <v>96</v>
      </c>
      <c r="D10" s="22"/>
      <c r="E10" s="45"/>
      <c r="F10" s="22"/>
      <c r="G10" s="22" t="s">
        <v>23</v>
      </c>
      <c r="H10" s="22"/>
      <c r="I10" s="45" t="s">
        <v>602</v>
      </c>
      <c r="J10" s="22" t="s">
        <v>291</v>
      </c>
      <c r="K10" s="22"/>
      <c r="L10" s="22"/>
      <c r="M10" s="22"/>
      <c r="N10" s="23">
        <v>1</v>
      </c>
      <c r="O10" s="24" t="s">
        <v>37</v>
      </c>
      <c r="P10" s="33"/>
      <c r="Q10" s="25"/>
      <c r="R10" s="25"/>
      <c r="S10" s="25">
        <v>45565</v>
      </c>
      <c r="T10" s="25">
        <v>45565</v>
      </c>
      <c r="U10" s="26">
        <v>0.4</v>
      </c>
      <c r="V10" s="26">
        <v>0</v>
      </c>
      <c r="W10" s="26">
        <v>-0.4</v>
      </c>
      <c r="X10" s="26">
        <f>SUM(Tabela1[[#This Row],[Previsto Contrato (R$MM)]:[Medido (R$MM)]])</f>
        <v>0</v>
      </c>
      <c r="Y10" s="31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</row>
    <row r="11" spans="1:47" hidden="1">
      <c r="A11" s="34" t="s">
        <v>512</v>
      </c>
      <c r="B11" s="34" t="s">
        <v>283</v>
      </c>
      <c r="C11" s="22" t="s">
        <v>96</v>
      </c>
      <c r="D11" s="22"/>
      <c r="E11" s="45"/>
      <c r="F11" s="22"/>
      <c r="G11" s="22" t="s">
        <v>597</v>
      </c>
      <c r="H11" s="22"/>
      <c r="I11" s="45" t="s">
        <v>603</v>
      </c>
      <c r="J11" s="22" t="s">
        <v>291</v>
      </c>
      <c r="K11" s="34">
        <v>0</v>
      </c>
      <c r="L11" s="22"/>
      <c r="M11" s="22"/>
      <c r="N11" s="23">
        <v>1</v>
      </c>
      <c r="O11" s="24" t="s">
        <v>37</v>
      </c>
      <c r="P11" s="33"/>
      <c r="Q11" s="25"/>
      <c r="R11" s="25"/>
      <c r="S11" s="25">
        <v>45868</v>
      </c>
      <c r="T11" s="25">
        <v>45903</v>
      </c>
      <c r="U11" s="26">
        <v>0.25</v>
      </c>
      <c r="V11" s="26">
        <v>0</v>
      </c>
      <c r="W11" s="26">
        <v>-0.25</v>
      </c>
      <c r="X11" s="26">
        <f>SUM(Tabela1[[#This Row],[Previsto Contrato (R$MM)]:[Medido (R$MM)]])</f>
        <v>0</v>
      </c>
      <c r="Y11" s="31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</row>
    <row r="12" spans="1:47" hidden="1">
      <c r="A12" s="34" t="s">
        <v>513</v>
      </c>
      <c r="B12" s="34" t="s">
        <v>283</v>
      </c>
      <c r="C12" s="22" t="s">
        <v>96</v>
      </c>
      <c r="D12" s="22"/>
      <c r="E12" s="45"/>
      <c r="F12" s="22"/>
      <c r="G12" s="22" t="s">
        <v>597</v>
      </c>
      <c r="H12" s="22"/>
      <c r="I12" s="45" t="s">
        <v>604</v>
      </c>
      <c r="J12" s="22" t="s">
        <v>291</v>
      </c>
      <c r="K12" s="34">
        <v>0</v>
      </c>
      <c r="L12" s="22"/>
      <c r="M12" s="22"/>
      <c r="N12" s="23">
        <v>1</v>
      </c>
      <c r="O12" s="24" t="s">
        <v>37</v>
      </c>
      <c r="P12" s="33"/>
      <c r="Q12" s="25"/>
      <c r="R12" s="25"/>
      <c r="S12" s="25">
        <v>45580</v>
      </c>
      <c r="T12" s="25">
        <v>45731</v>
      </c>
      <c r="U12" s="26">
        <v>0.19</v>
      </c>
      <c r="V12" s="26">
        <v>0</v>
      </c>
      <c r="W12" s="26">
        <v>-0.19</v>
      </c>
      <c r="X12" s="26">
        <f>SUM(Tabela1[[#This Row],[Previsto Contrato (R$MM)]:[Medido (R$MM)]])</f>
        <v>0</v>
      </c>
      <c r="Y12" s="31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</row>
    <row r="13" spans="1:47" hidden="1">
      <c r="A13" s="34" t="s">
        <v>515</v>
      </c>
      <c r="B13" s="34" t="s">
        <v>283</v>
      </c>
      <c r="C13" s="22" t="s">
        <v>124</v>
      </c>
      <c r="D13" s="22"/>
      <c r="E13" s="45" t="s">
        <v>139</v>
      </c>
      <c r="F13" s="22"/>
      <c r="G13" s="22" t="s">
        <v>20</v>
      </c>
      <c r="H13" s="22"/>
      <c r="I13" s="45" t="s">
        <v>165</v>
      </c>
      <c r="J13" s="22" t="s">
        <v>149</v>
      </c>
      <c r="K13" s="22"/>
      <c r="L13" s="22"/>
      <c r="M13" s="22"/>
      <c r="N13" s="23">
        <v>1</v>
      </c>
      <c r="O13" s="24" t="s">
        <v>37</v>
      </c>
      <c r="P13" s="33"/>
      <c r="Q13" s="25"/>
      <c r="R13" s="25"/>
      <c r="S13" s="25">
        <v>45545</v>
      </c>
      <c r="T13" s="25">
        <v>45838</v>
      </c>
      <c r="U13" s="26">
        <v>0.28699999999999998</v>
      </c>
      <c r="V13" s="26">
        <v>-1.26E-2</v>
      </c>
      <c r="W13" s="26">
        <v>-0.27500000000000002</v>
      </c>
      <c r="X13" s="26">
        <f>SUM(Tabela1[[#This Row],[Previsto Contrato (R$MM)]:[Medido (R$MM)]])</f>
        <v>-6.0000000000004494E-4</v>
      </c>
      <c r="Y13" s="31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</row>
    <row r="14" spans="1:47" hidden="1">
      <c r="A14" s="34" t="s">
        <v>517</v>
      </c>
      <c r="B14" s="34" t="s">
        <v>283</v>
      </c>
      <c r="C14" s="22" t="s">
        <v>124</v>
      </c>
      <c r="D14" s="22"/>
      <c r="E14" s="45" t="s">
        <v>139</v>
      </c>
      <c r="F14" s="22"/>
      <c r="G14" s="22" t="s">
        <v>22</v>
      </c>
      <c r="H14" s="22"/>
      <c r="I14" s="45" t="s">
        <v>164</v>
      </c>
      <c r="J14" s="22" t="s">
        <v>148</v>
      </c>
      <c r="K14" s="22"/>
      <c r="L14" s="22"/>
      <c r="M14" s="22"/>
      <c r="N14" s="23">
        <v>1</v>
      </c>
      <c r="O14" s="24" t="s">
        <v>37</v>
      </c>
      <c r="P14" s="33"/>
      <c r="Q14" s="25"/>
      <c r="R14" s="25"/>
      <c r="S14" s="25">
        <v>45770</v>
      </c>
      <c r="T14" s="25">
        <v>45991</v>
      </c>
      <c r="U14" s="26">
        <v>0.499</v>
      </c>
      <c r="V14" s="26">
        <v>8.4000000000000005E-2</v>
      </c>
      <c r="W14" s="26">
        <v>-0.58299999999999996</v>
      </c>
      <c r="X14" s="26">
        <f>SUM(Tabela1[[#This Row],[Previsto Contrato (R$MM)]:[Medido (R$MM)]])</f>
        <v>0</v>
      </c>
      <c r="Y14" s="31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</row>
    <row r="15" spans="1:47" hidden="1">
      <c r="A15" s="34" t="s">
        <v>521</v>
      </c>
      <c r="B15" s="34" t="s">
        <v>283</v>
      </c>
      <c r="C15" s="22" t="s">
        <v>124</v>
      </c>
      <c r="D15" s="22"/>
      <c r="E15" s="45" t="s">
        <v>138</v>
      </c>
      <c r="F15" s="22"/>
      <c r="G15" s="22" t="s">
        <v>595</v>
      </c>
      <c r="H15" s="22"/>
      <c r="I15" s="45" t="s">
        <v>163</v>
      </c>
      <c r="J15" s="22" t="s">
        <v>147</v>
      </c>
      <c r="K15" s="22"/>
      <c r="L15" s="22"/>
      <c r="M15" s="22"/>
      <c r="N15" s="23">
        <v>1</v>
      </c>
      <c r="O15" s="24" t="s">
        <v>37</v>
      </c>
      <c r="P15" s="33"/>
      <c r="Q15" s="25"/>
      <c r="R15" s="25"/>
      <c r="S15" s="25">
        <v>45543</v>
      </c>
      <c r="T15" s="25">
        <v>46022</v>
      </c>
      <c r="U15" s="26">
        <v>5.8000000000000003E-2</v>
      </c>
      <c r="V15" s="26">
        <v>0</v>
      </c>
      <c r="W15" s="26">
        <v>-3.7999999999999999E-2</v>
      </c>
      <c r="X15" s="26">
        <f>SUM(Tabela1[[#This Row],[Previsto Contrato (R$MM)]:[Medido (R$MM)]])</f>
        <v>2.0000000000000004E-2</v>
      </c>
      <c r="Y15" s="31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</row>
    <row r="16" spans="1:47" s="66" customFormat="1" hidden="1">
      <c r="A16" s="34" t="s">
        <v>522</v>
      </c>
      <c r="B16" s="34" t="s">
        <v>283</v>
      </c>
      <c r="C16" s="22" t="s">
        <v>124</v>
      </c>
      <c r="D16" s="22"/>
      <c r="E16" s="45" t="s">
        <v>125</v>
      </c>
      <c r="F16" s="22"/>
      <c r="G16" s="22" t="s">
        <v>597</v>
      </c>
      <c r="H16" s="22"/>
      <c r="I16" s="45" t="s">
        <v>160</v>
      </c>
      <c r="J16" s="22" t="s">
        <v>144</v>
      </c>
      <c r="K16" s="34">
        <v>0</v>
      </c>
      <c r="L16" s="22"/>
      <c r="M16" s="22"/>
      <c r="N16" s="23">
        <v>1</v>
      </c>
      <c r="O16" s="24" t="s">
        <v>37</v>
      </c>
      <c r="P16" s="33"/>
      <c r="Q16" s="25"/>
      <c r="R16" s="25"/>
      <c r="S16" s="25">
        <v>45866</v>
      </c>
      <c r="T16" s="25">
        <v>45899</v>
      </c>
      <c r="U16" s="26">
        <v>4.0500000000000001E-2</v>
      </c>
      <c r="V16" s="26">
        <v>-1.35E-2</v>
      </c>
      <c r="W16" s="26">
        <v>-2.7E-2</v>
      </c>
      <c r="X16" s="26">
        <f>SUM(Tabela1[[#This Row],[Previsto Contrato (R$MM)]:[Medido (R$MM)]])</f>
        <v>0</v>
      </c>
      <c r="Y16" s="31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</row>
    <row r="17" spans="1:47" hidden="1">
      <c r="A17" s="34" t="s">
        <v>524</v>
      </c>
      <c r="B17" s="34" t="s">
        <v>283</v>
      </c>
      <c r="C17" s="22" t="s">
        <v>124</v>
      </c>
      <c r="D17" s="22"/>
      <c r="E17" s="45" t="s">
        <v>126</v>
      </c>
      <c r="F17" s="22"/>
      <c r="G17" s="22" t="s">
        <v>20</v>
      </c>
      <c r="H17" s="22"/>
      <c r="I17" s="45" t="s">
        <v>161</v>
      </c>
      <c r="J17" s="22" t="s">
        <v>145</v>
      </c>
      <c r="K17" s="22"/>
      <c r="L17" s="22"/>
      <c r="M17" s="22"/>
      <c r="N17" s="23">
        <v>1</v>
      </c>
      <c r="O17" s="24" t="s">
        <v>37</v>
      </c>
      <c r="P17" s="33"/>
      <c r="Q17" s="25"/>
      <c r="R17" s="25"/>
      <c r="S17" s="25">
        <v>45247</v>
      </c>
      <c r="T17" s="25">
        <v>45507</v>
      </c>
      <c r="U17" s="26">
        <v>1.2649999999999999</v>
      </c>
      <c r="V17" s="26">
        <v>0.215</v>
      </c>
      <c r="W17" s="26">
        <v>-1.48</v>
      </c>
      <c r="X17" s="26">
        <f>SUM(Tabela1[[#This Row],[Previsto Contrato (R$MM)]:[Medido (R$MM)]])</f>
        <v>0</v>
      </c>
      <c r="Y17" s="31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</row>
    <row r="18" spans="1:47" hidden="1">
      <c r="A18" s="34" t="s">
        <v>526</v>
      </c>
      <c r="B18" s="34" t="s">
        <v>283</v>
      </c>
      <c r="C18" s="22" t="s">
        <v>124</v>
      </c>
      <c r="D18" s="22"/>
      <c r="E18" s="45" t="s">
        <v>137</v>
      </c>
      <c r="F18" s="22"/>
      <c r="G18" s="22" t="s">
        <v>597</v>
      </c>
      <c r="H18" s="22"/>
      <c r="I18" s="45" t="s">
        <v>162</v>
      </c>
      <c r="J18" s="22" t="s">
        <v>146</v>
      </c>
      <c r="K18" s="34">
        <v>0</v>
      </c>
      <c r="L18" s="22"/>
      <c r="M18" s="22"/>
      <c r="N18" s="23">
        <v>1</v>
      </c>
      <c r="O18" s="24" t="s">
        <v>37</v>
      </c>
      <c r="P18" s="33"/>
      <c r="Q18" s="25"/>
      <c r="R18" s="25"/>
      <c r="S18" s="25">
        <v>45545</v>
      </c>
      <c r="T18" s="25">
        <v>45807</v>
      </c>
      <c r="U18" s="26">
        <v>0.20799999999999999</v>
      </c>
      <c r="V18" s="26">
        <v>2.5000000000000001E-2</v>
      </c>
      <c r="W18" s="26">
        <v>-0.23300000000000001</v>
      </c>
      <c r="X18" s="26">
        <f>SUM(Tabela1[[#This Row],[Previsto Contrato (R$MM)]:[Medido (R$MM)]])</f>
        <v>0</v>
      </c>
      <c r="Y18" s="31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</row>
    <row r="19" spans="1:47">
      <c r="A19" s="34" t="s">
        <v>514</v>
      </c>
      <c r="B19" s="34" t="s">
        <v>283</v>
      </c>
      <c r="C19" s="22" t="s">
        <v>670</v>
      </c>
      <c r="D19" s="22"/>
      <c r="E19" s="45" t="s">
        <v>142</v>
      </c>
      <c r="F19" s="22" t="s">
        <v>461</v>
      </c>
      <c r="G19" s="22" t="s">
        <v>597</v>
      </c>
      <c r="H19" s="22"/>
      <c r="I19" s="45" t="s">
        <v>605</v>
      </c>
      <c r="J19" s="22" t="s">
        <v>478</v>
      </c>
      <c r="K19" s="34">
        <v>0</v>
      </c>
      <c r="L19" s="34"/>
      <c r="M19" s="34" t="s">
        <v>501</v>
      </c>
      <c r="N19" s="23">
        <v>0</v>
      </c>
      <c r="O19" s="24" t="s">
        <v>5</v>
      </c>
      <c r="P19" s="33"/>
      <c r="Q19" s="25"/>
      <c r="R19" s="25"/>
      <c r="S19" s="25"/>
      <c r="T19" s="25"/>
      <c r="U19" s="26"/>
      <c r="V19" s="26"/>
      <c r="W19" s="26"/>
      <c r="X19" s="26">
        <f>SUM(Tabela1[[#This Row],[Previsto Contrato (R$MM)]:[Medido (R$MM)]])</f>
        <v>0</v>
      </c>
      <c r="Y19" s="31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</row>
    <row r="20" spans="1:47">
      <c r="A20" s="34" t="s">
        <v>516</v>
      </c>
      <c r="B20" s="34" t="s">
        <v>283</v>
      </c>
      <c r="C20" s="22" t="s">
        <v>670</v>
      </c>
      <c r="D20" s="22"/>
      <c r="E20" s="45" t="s">
        <v>702</v>
      </c>
      <c r="F20" s="22" t="s">
        <v>461</v>
      </c>
      <c r="G20" s="22" t="s">
        <v>597</v>
      </c>
      <c r="H20" s="22"/>
      <c r="I20" s="45" t="s">
        <v>606</v>
      </c>
      <c r="J20" s="22" t="s">
        <v>479</v>
      </c>
      <c r="K20" s="34">
        <v>0</v>
      </c>
      <c r="L20" s="34"/>
      <c r="M20" s="34" t="s">
        <v>501</v>
      </c>
      <c r="N20" s="23">
        <v>0</v>
      </c>
      <c r="O20" s="24" t="s">
        <v>5</v>
      </c>
      <c r="P20" s="33"/>
      <c r="Q20" s="25"/>
      <c r="R20" s="25"/>
      <c r="S20" s="25"/>
      <c r="T20" s="25"/>
      <c r="U20" s="26"/>
      <c r="V20" s="26"/>
      <c r="W20" s="26"/>
      <c r="X20" s="26">
        <f>SUM(Tabela1[[#This Row],[Previsto Contrato (R$MM)]:[Medido (R$MM)]])</f>
        <v>0</v>
      </c>
      <c r="Y20" s="31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</row>
    <row r="21" spans="1:47" s="66" customFormat="1">
      <c r="A21" s="34" t="s">
        <v>518</v>
      </c>
      <c r="B21" s="34" t="s">
        <v>283</v>
      </c>
      <c r="C21" s="22" t="s">
        <v>670</v>
      </c>
      <c r="D21" s="22" t="s">
        <v>709</v>
      </c>
      <c r="E21" s="45" t="s">
        <v>85</v>
      </c>
      <c r="F21" s="22" t="s">
        <v>462</v>
      </c>
      <c r="G21" s="22" t="s">
        <v>20</v>
      </c>
      <c r="H21" s="22" t="s">
        <v>705</v>
      </c>
      <c r="I21" s="45" t="s">
        <v>158</v>
      </c>
      <c r="J21" s="22" t="s">
        <v>87</v>
      </c>
      <c r="K21" s="34">
        <v>0</v>
      </c>
      <c r="L21" s="34"/>
      <c r="M21" s="34" t="s">
        <v>501</v>
      </c>
      <c r="N21" s="23">
        <v>0.7</v>
      </c>
      <c r="O21" s="24" t="s">
        <v>5</v>
      </c>
      <c r="P21" s="33"/>
      <c r="Q21" s="25"/>
      <c r="R21" s="25"/>
      <c r="S21" s="25">
        <v>46081</v>
      </c>
      <c r="T21" s="25">
        <v>46081</v>
      </c>
      <c r="U21" s="26">
        <v>0.23</v>
      </c>
      <c r="V21" s="26">
        <v>0</v>
      </c>
      <c r="W21" s="26">
        <v>-0.1562094</v>
      </c>
      <c r="X21" s="26">
        <f>SUM(Tabela1[[#This Row],[Previsto Contrato (R$MM)]:[Medido (R$MM)]])</f>
        <v>7.3790600000000012E-2</v>
      </c>
      <c r="Y21" s="31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</row>
    <row r="22" spans="1:47">
      <c r="A22" s="34" t="s">
        <v>519</v>
      </c>
      <c r="B22" s="34" t="s">
        <v>283</v>
      </c>
      <c r="C22" s="22" t="s">
        <v>670</v>
      </c>
      <c r="D22" s="22" t="s">
        <v>709</v>
      </c>
      <c r="E22" s="45" t="s">
        <v>85</v>
      </c>
      <c r="F22" s="22" t="s">
        <v>462</v>
      </c>
      <c r="G22" s="22" t="s">
        <v>20</v>
      </c>
      <c r="H22" s="22" t="s">
        <v>705</v>
      </c>
      <c r="I22" s="45" t="s">
        <v>577</v>
      </c>
      <c r="J22" s="22" t="s">
        <v>87</v>
      </c>
      <c r="K22" s="34">
        <v>0</v>
      </c>
      <c r="L22" s="34"/>
      <c r="M22" s="34" t="s">
        <v>501</v>
      </c>
      <c r="N22" s="23">
        <v>0.7</v>
      </c>
      <c r="O22" s="24" t="s">
        <v>5</v>
      </c>
      <c r="P22" s="33"/>
      <c r="Q22" s="25"/>
      <c r="R22" s="25"/>
      <c r="S22" s="25">
        <v>46081</v>
      </c>
      <c r="T22" s="25">
        <v>46081</v>
      </c>
      <c r="U22" s="26">
        <v>0.26</v>
      </c>
      <c r="V22" s="26">
        <v>0</v>
      </c>
      <c r="W22" s="26">
        <v>-0.1909226</v>
      </c>
      <c r="X22" s="26">
        <f>SUM(Tabela1[[#This Row],[Previsto Contrato (R$MM)]:[Medido (R$MM)]])</f>
        <v>6.9077400000000011E-2</v>
      </c>
      <c r="Y22" s="31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</row>
    <row r="23" spans="1:47" s="70" customFormat="1">
      <c r="A23" s="34" t="s">
        <v>520</v>
      </c>
      <c r="B23" s="34" t="s">
        <v>283</v>
      </c>
      <c r="C23" s="22" t="s">
        <v>670</v>
      </c>
      <c r="D23" s="22"/>
      <c r="E23" s="45" t="s">
        <v>142</v>
      </c>
      <c r="F23" s="22" t="s">
        <v>461</v>
      </c>
      <c r="G23" s="22" t="s">
        <v>22</v>
      </c>
      <c r="H23" s="22" t="s">
        <v>705</v>
      </c>
      <c r="I23" s="45" t="s">
        <v>472</v>
      </c>
      <c r="J23" s="22" t="s">
        <v>143</v>
      </c>
      <c r="K23" s="34">
        <v>0</v>
      </c>
      <c r="L23" s="34"/>
      <c r="M23" s="34" t="s">
        <v>501</v>
      </c>
      <c r="N23" s="23">
        <v>0</v>
      </c>
      <c r="O23" s="24" t="s">
        <v>5</v>
      </c>
      <c r="P23" s="33"/>
      <c r="Q23" s="25"/>
      <c r="R23" s="25"/>
      <c r="S23" s="25">
        <v>46275</v>
      </c>
      <c r="T23" s="25">
        <v>46275</v>
      </c>
      <c r="U23" s="26">
        <v>1.623</v>
      </c>
      <c r="V23" s="26">
        <v>0</v>
      </c>
      <c r="W23" s="26">
        <v>0</v>
      </c>
      <c r="X23" s="26">
        <f>SUM(Tabela1[[#This Row],[Previsto Contrato (R$MM)]:[Medido (R$MM)]])</f>
        <v>1.623</v>
      </c>
      <c r="Y23" s="31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</row>
    <row r="24" spans="1:47" s="70" customFormat="1">
      <c r="A24" s="34" t="s">
        <v>523</v>
      </c>
      <c r="B24" s="63" t="s">
        <v>283</v>
      </c>
      <c r="C24" s="22" t="s">
        <v>670</v>
      </c>
      <c r="D24" s="22" t="s">
        <v>710</v>
      </c>
      <c r="E24" s="45" t="s">
        <v>141</v>
      </c>
      <c r="F24" s="22" t="s">
        <v>460</v>
      </c>
      <c r="G24" s="22" t="s">
        <v>20</v>
      </c>
      <c r="H24" s="22" t="s">
        <v>705</v>
      </c>
      <c r="I24" s="45" t="s">
        <v>167</v>
      </c>
      <c r="J24" s="22" t="s">
        <v>151</v>
      </c>
      <c r="K24" s="34">
        <v>0</v>
      </c>
      <c r="L24" s="34"/>
      <c r="M24" s="34" t="s">
        <v>501</v>
      </c>
      <c r="N24" s="23">
        <v>0.7</v>
      </c>
      <c r="O24" s="64" t="s">
        <v>7</v>
      </c>
      <c r="P24" s="33"/>
      <c r="Q24" s="25"/>
      <c r="R24" s="25"/>
      <c r="S24" s="65">
        <v>45520</v>
      </c>
      <c r="T24" s="65">
        <v>46108</v>
      </c>
      <c r="U24" s="26">
        <v>2.762</v>
      </c>
      <c r="V24" s="26">
        <v>0.40400000000000003</v>
      </c>
      <c r="W24" s="26">
        <v>-2.3058429999999999</v>
      </c>
      <c r="X24" s="26">
        <f>SUM(Tabela1[[#This Row],[Previsto Contrato (R$MM)]:[Medido (R$MM)]])</f>
        <v>0.86015700000000006</v>
      </c>
      <c r="Y24" s="31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</row>
    <row r="25" spans="1:47" s="70" customFormat="1">
      <c r="A25" s="34" t="s">
        <v>525</v>
      </c>
      <c r="B25" s="34" t="s">
        <v>283</v>
      </c>
      <c r="C25" s="22" t="s">
        <v>670</v>
      </c>
      <c r="D25" s="22" t="s">
        <v>711</v>
      </c>
      <c r="E25" s="45" t="s">
        <v>140</v>
      </c>
      <c r="F25" s="22" t="s">
        <v>462</v>
      </c>
      <c r="G25" s="22" t="s">
        <v>597</v>
      </c>
      <c r="H25" s="22" t="s">
        <v>705</v>
      </c>
      <c r="I25" s="45" t="s">
        <v>166</v>
      </c>
      <c r="J25" s="22" t="s">
        <v>150</v>
      </c>
      <c r="K25" s="34">
        <v>0</v>
      </c>
      <c r="L25" s="34"/>
      <c r="M25" s="34" t="s">
        <v>501</v>
      </c>
      <c r="N25" s="23">
        <v>0.68</v>
      </c>
      <c r="O25" s="24" t="s">
        <v>6</v>
      </c>
      <c r="P25" s="33"/>
      <c r="Q25" s="25"/>
      <c r="R25" s="25"/>
      <c r="S25" s="25">
        <v>45766</v>
      </c>
      <c r="T25" s="25">
        <v>46131</v>
      </c>
      <c r="U25" s="26">
        <v>0.68200000000000005</v>
      </c>
      <c r="V25" s="26">
        <v>0.32700000000000001</v>
      </c>
      <c r="W25" s="26">
        <v>-0.46095000000000003</v>
      </c>
      <c r="X25" s="26">
        <f>SUM(Tabela1[[#This Row],[Previsto Contrato (R$MM)]:[Medido (R$MM)]])</f>
        <v>0.54805000000000015</v>
      </c>
      <c r="Y25" s="31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</row>
    <row r="26" spans="1:47">
      <c r="A26" s="34" t="s">
        <v>527</v>
      </c>
      <c r="B26" s="34" t="s">
        <v>283</v>
      </c>
      <c r="C26" s="22" t="s">
        <v>670</v>
      </c>
      <c r="D26" s="22"/>
      <c r="E26" s="45" t="s">
        <v>71</v>
      </c>
      <c r="F26" s="22" t="s">
        <v>295</v>
      </c>
      <c r="G26" s="22" t="s">
        <v>594</v>
      </c>
      <c r="H26" s="22" t="s">
        <v>705</v>
      </c>
      <c r="I26" s="45" t="s">
        <v>607</v>
      </c>
      <c r="J26" s="22" t="s">
        <v>73</v>
      </c>
      <c r="K26" s="34">
        <v>0</v>
      </c>
      <c r="L26" s="34"/>
      <c r="M26" s="34" t="s">
        <v>501</v>
      </c>
      <c r="N26" s="23">
        <v>0.67</v>
      </c>
      <c r="O26" s="24" t="s">
        <v>5</v>
      </c>
      <c r="P26" s="33"/>
      <c r="Q26" s="25"/>
      <c r="R26" s="25"/>
      <c r="S26" s="25">
        <v>46022</v>
      </c>
      <c r="T26" s="25">
        <v>46022</v>
      </c>
      <c r="U26" s="26">
        <v>0.74</v>
      </c>
      <c r="V26" s="26">
        <v>0.6</v>
      </c>
      <c r="W26" s="26">
        <v>-0.9</v>
      </c>
      <c r="X26" s="26">
        <f>SUM(Tabela1[[#This Row],[Previsto Contrato (R$MM)]:[Medido (R$MM)]])</f>
        <v>0.43999999999999984</v>
      </c>
      <c r="Y26" s="31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</row>
    <row r="27" spans="1:47">
      <c r="A27" s="34" t="s">
        <v>528</v>
      </c>
      <c r="B27" s="34" t="s">
        <v>283</v>
      </c>
      <c r="C27" s="22" t="s">
        <v>670</v>
      </c>
      <c r="D27" s="22"/>
      <c r="E27" s="45" t="s">
        <v>80</v>
      </c>
      <c r="F27" s="22" t="s">
        <v>311</v>
      </c>
      <c r="G27" s="22" t="s">
        <v>597</v>
      </c>
      <c r="H27" s="22" t="s">
        <v>705</v>
      </c>
      <c r="I27" s="78" t="s">
        <v>500</v>
      </c>
      <c r="J27" s="22" t="s">
        <v>93</v>
      </c>
      <c r="K27" s="34">
        <v>0</v>
      </c>
      <c r="L27" s="34"/>
      <c r="M27" s="79">
        <v>46174</v>
      </c>
      <c r="N27" s="23">
        <v>7.0000000000000007E-2</v>
      </c>
      <c r="O27" s="68" t="s">
        <v>6</v>
      </c>
      <c r="P27" s="33"/>
      <c r="Q27" s="25"/>
      <c r="R27" s="25"/>
      <c r="S27" s="69">
        <v>46167</v>
      </c>
      <c r="T27" s="69">
        <v>46240</v>
      </c>
      <c r="U27" s="26">
        <v>0.79</v>
      </c>
      <c r="V27" s="26">
        <v>0</v>
      </c>
      <c r="W27" s="26">
        <v>-1.4E-2</v>
      </c>
      <c r="X27" s="26">
        <f>SUM(Tabela1[[#This Row],[Previsto Contrato (R$MM)]:[Medido (R$MM)]])</f>
        <v>0.77600000000000002</v>
      </c>
      <c r="Y27" s="31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</row>
    <row r="28" spans="1:47">
      <c r="A28" s="34" t="s">
        <v>529</v>
      </c>
      <c r="B28" s="34" t="s">
        <v>283</v>
      </c>
      <c r="C28" s="22" t="s">
        <v>670</v>
      </c>
      <c r="D28" s="22"/>
      <c r="E28" s="45" t="s">
        <v>72</v>
      </c>
      <c r="F28" s="22" t="s">
        <v>295</v>
      </c>
      <c r="G28" s="22" t="s">
        <v>594</v>
      </c>
      <c r="H28" s="22" t="s">
        <v>705</v>
      </c>
      <c r="I28" s="45" t="s">
        <v>155</v>
      </c>
      <c r="J28" s="22" t="s">
        <v>74</v>
      </c>
      <c r="K28" s="34">
        <v>0</v>
      </c>
      <c r="L28" s="34"/>
      <c r="M28" s="34" t="s">
        <v>501</v>
      </c>
      <c r="N28" s="23">
        <v>0.55000000000000004</v>
      </c>
      <c r="O28" s="24" t="s">
        <v>6</v>
      </c>
      <c r="P28" s="33"/>
      <c r="Q28" s="25"/>
      <c r="R28" s="25"/>
      <c r="S28" s="25">
        <v>45982</v>
      </c>
      <c r="T28" s="25">
        <v>46073</v>
      </c>
      <c r="U28" s="26">
        <v>0.11</v>
      </c>
      <c r="V28" s="26">
        <v>0</v>
      </c>
      <c r="W28" s="26">
        <v>-0.06</v>
      </c>
      <c r="X28" s="26">
        <f>SUM(Tabela1[[#This Row],[Previsto Contrato (R$MM)]:[Medido (R$MM)]])</f>
        <v>0.05</v>
      </c>
      <c r="Y28" s="31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</row>
    <row r="29" spans="1:47" s="70" customFormat="1" ht="27" customHeight="1">
      <c r="A29" s="34" t="s">
        <v>530</v>
      </c>
      <c r="B29" s="34" t="s">
        <v>283</v>
      </c>
      <c r="C29" s="22" t="s">
        <v>670</v>
      </c>
      <c r="D29" s="22" t="s">
        <v>713</v>
      </c>
      <c r="E29" s="45" t="s">
        <v>75</v>
      </c>
      <c r="F29" s="22" t="s">
        <v>308</v>
      </c>
      <c r="G29" s="22" t="s">
        <v>596</v>
      </c>
      <c r="H29" s="22" t="s">
        <v>705</v>
      </c>
      <c r="I29" s="45" t="s">
        <v>471</v>
      </c>
      <c r="J29" s="22" t="s">
        <v>92</v>
      </c>
      <c r="K29" s="34">
        <v>0</v>
      </c>
      <c r="L29" s="34"/>
      <c r="M29" s="34" t="s">
        <v>501</v>
      </c>
      <c r="N29" s="23">
        <v>0.02</v>
      </c>
      <c r="O29" s="64" t="s">
        <v>5</v>
      </c>
      <c r="P29" s="33"/>
      <c r="Q29" s="25"/>
      <c r="R29" s="25"/>
      <c r="S29" s="65">
        <v>46072</v>
      </c>
      <c r="T29" s="65">
        <v>46072</v>
      </c>
      <c r="U29" s="26">
        <v>0.56999999999999995</v>
      </c>
      <c r="V29" s="26">
        <v>0</v>
      </c>
      <c r="W29" s="26">
        <v>-7.0000000000000001E-3</v>
      </c>
      <c r="X29" s="26">
        <f>SUM(Tabela1[[#This Row],[Previsto Contrato (R$MM)]:[Medido (R$MM)]])</f>
        <v>0.56299999999999994</v>
      </c>
      <c r="Y29" s="31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</row>
    <row r="30" spans="1:47" ht="45.75" customHeight="1">
      <c r="A30" s="34" t="s">
        <v>531</v>
      </c>
      <c r="B30" s="34" t="s">
        <v>283</v>
      </c>
      <c r="C30" s="22" t="s">
        <v>670</v>
      </c>
      <c r="D30" s="22" t="s">
        <v>712</v>
      </c>
      <c r="E30" s="45" t="s">
        <v>79</v>
      </c>
      <c r="F30" s="22" t="s">
        <v>459</v>
      </c>
      <c r="G30" s="22" t="s">
        <v>596</v>
      </c>
      <c r="H30" s="22" t="s">
        <v>703</v>
      </c>
      <c r="I30" s="45" t="s">
        <v>467</v>
      </c>
      <c r="J30" s="22" t="s">
        <v>492</v>
      </c>
      <c r="K30" s="34">
        <v>0</v>
      </c>
      <c r="L30" s="34"/>
      <c r="M30" s="34" t="s">
        <v>501</v>
      </c>
      <c r="N30" s="23">
        <v>0.5</v>
      </c>
      <c r="O30" s="24" t="s">
        <v>5</v>
      </c>
      <c r="P30" s="33"/>
      <c r="Q30" s="25"/>
      <c r="R30" s="25"/>
      <c r="S30" s="25">
        <v>46226</v>
      </c>
      <c r="T30" s="25">
        <v>46226</v>
      </c>
      <c r="U30" s="26">
        <v>2.52</v>
      </c>
      <c r="V30" s="26">
        <v>0</v>
      </c>
      <c r="W30" s="26">
        <v>-0.27</v>
      </c>
      <c r="X30" s="26">
        <f>SUM(Tabela1[[#This Row],[Previsto Contrato (R$MM)]:[Medido (R$MM)]])</f>
        <v>2.25</v>
      </c>
      <c r="Y30" s="31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</row>
    <row r="31" spans="1:47" s="66" customFormat="1">
      <c r="A31" s="34" t="s">
        <v>532</v>
      </c>
      <c r="B31" s="34" t="s">
        <v>283</v>
      </c>
      <c r="C31" s="22" t="s">
        <v>670</v>
      </c>
      <c r="D31" s="22"/>
      <c r="E31" s="45" t="s">
        <v>82</v>
      </c>
      <c r="F31" s="22" t="s">
        <v>295</v>
      </c>
      <c r="G31" s="22" t="s">
        <v>597</v>
      </c>
      <c r="H31" s="22" t="s">
        <v>705</v>
      </c>
      <c r="I31" s="45" t="s">
        <v>469</v>
      </c>
      <c r="J31" s="22" t="s">
        <v>94</v>
      </c>
      <c r="K31" s="34">
        <v>0</v>
      </c>
      <c r="L31" s="34"/>
      <c r="M31" s="34" t="s">
        <v>501</v>
      </c>
      <c r="N31" s="23">
        <v>0</v>
      </c>
      <c r="O31" s="68" t="s">
        <v>5</v>
      </c>
      <c r="P31" s="33"/>
      <c r="Q31" s="25"/>
      <c r="R31" s="25"/>
      <c r="S31" s="69">
        <v>46142</v>
      </c>
      <c r="T31" s="69">
        <v>46142</v>
      </c>
      <c r="U31" s="26">
        <v>0.62</v>
      </c>
      <c r="V31" s="26">
        <v>0</v>
      </c>
      <c r="W31" s="26">
        <v>0</v>
      </c>
      <c r="X31" s="26">
        <f>SUM(Tabela1[[#This Row],[Previsto Contrato (R$MM)]:[Medido (R$MM)]])</f>
        <v>0.62</v>
      </c>
      <c r="Y31" s="31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</row>
    <row r="32" spans="1:47">
      <c r="A32" s="34" t="s">
        <v>533</v>
      </c>
      <c r="B32" s="34" t="s">
        <v>488</v>
      </c>
      <c r="C32" s="22" t="s">
        <v>670</v>
      </c>
      <c r="D32" s="22"/>
      <c r="E32" s="45"/>
      <c r="F32" s="22"/>
      <c r="G32" s="22" t="s">
        <v>594</v>
      </c>
      <c r="H32" s="22" t="s">
        <v>706</v>
      </c>
      <c r="I32" s="45" t="s">
        <v>608</v>
      </c>
      <c r="J32" s="22" t="s">
        <v>489</v>
      </c>
      <c r="K32" s="34">
        <v>0</v>
      </c>
      <c r="L32" s="34"/>
      <c r="M32" s="34" t="s">
        <v>501</v>
      </c>
      <c r="N32" s="23">
        <v>0</v>
      </c>
      <c r="O32" s="24" t="s">
        <v>5</v>
      </c>
      <c r="P32" s="33"/>
      <c r="Q32" s="25"/>
      <c r="R32" s="25"/>
      <c r="S32" s="25"/>
      <c r="T32" s="25"/>
      <c r="U32" s="26"/>
      <c r="V32" s="26"/>
      <c r="W32" s="26"/>
      <c r="X32" s="26">
        <f>SUM(Tabela1[[#This Row],[Previsto Contrato (R$MM)]:[Medido (R$MM)]])</f>
        <v>0</v>
      </c>
      <c r="Y32" s="31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</row>
    <row r="33" spans="1:47">
      <c r="A33" s="34" t="s">
        <v>534</v>
      </c>
      <c r="B33" s="34" t="s">
        <v>290</v>
      </c>
      <c r="C33" s="22" t="s">
        <v>670</v>
      </c>
      <c r="D33" s="22"/>
      <c r="E33" s="45"/>
      <c r="F33" s="22"/>
      <c r="G33" s="22" t="s">
        <v>594</v>
      </c>
      <c r="H33" s="22" t="s">
        <v>706</v>
      </c>
      <c r="I33" s="45" t="s">
        <v>609</v>
      </c>
      <c r="J33" s="22" t="s">
        <v>490</v>
      </c>
      <c r="K33" s="34">
        <v>0</v>
      </c>
      <c r="L33" s="34"/>
      <c r="M33" s="34" t="s">
        <v>501</v>
      </c>
      <c r="N33" s="23">
        <v>0</v>
      </c>
      <c r="O33" s="24" t="s">
        <v>5</v>
      </c>
      <c r="P33" s="33"/>
      <c r="Q33" s="25"/>
      <c r="R33" s="25"/>
      <c r="S33" s="25"/>
      <c r="T33" s="25"/>
      <c r="U33" s="26"/>
      <c r="V33" s="26"/>
      <c r="W33" s="26"/>
      <c r="X33" s="26">
        <f>SUM(Tabela1[[#This Row],[Previsto Contrato (R$MM)]:[Medido (R$MM)]])</f>
        <v>0</v>
      </c>
      <c r="Y33" s="31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</row>
    <row r="34" spans="1:47">
      <c r="A34" s="34" t="s">
        <v>535</v>
      </c>
      <c r="B34" s="34" t="s">
        <v>488</v>
      </c>
      <c r="C34" s="22" t="s">
        <v>670</v>
      </c>
      <c r="D34" s="22"/>
      <c r="E34" s="45"/>
      <c r="F34" s="22" t="s">
        <v>295</v>
      </c>
      <c r="G34" s="22" t="s">
        <v>594</v>
      </c>
      <c r="H34" s="22" t="s">
        <v>706</v>
      </c>
      <c r="I34" s="45" t="s">
        <v>610</v>
      </c>
      <c r="J34" s="22" t="s">
        <v>491</v>
      </c>
      <c r="K34" s="34">
        <v>0</v>
      </c>
      <c r="L34" s="34"/>
      <c r="M34" s="34" t="s">
        <v>501</v>
      </c>
      <c r="N34" s="23">
        <v>0</v>
      </c>
      <c r="O34" s="24" t="s">
        <v>5</v>
      </c>
      <c r="P34" s="33"/>
      <c r="Q34" s="25"/>
      <c r="R34" s="25"/>
      <c r="S34" s="25"/>
      <c r="T34" s="25"/>
      <c r="U34" s="26">
        <v>0</v>
      </c>
      <c r="V34" s="26">
        <v>0</v>
      </c>
      <c r="W34" s="26">
        <v>0</v>
      </c>
      <c r="X34" s="26">
        <f>SUM(Tabela1[[#This Row],[Previsto Contrato (R$MM)]:[Medido (R$MM)]])</f>
        <v>0</v>
      </c>
      <c r="Y34" s="31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</row>
    <row r="35" spans="1:47">
      <c r="A35" s="34" t="s">
        <v>536</v>
      </c>
      <c r="B35" s="34" t="s">
        <v>292</v>
      </c>
      <c r="C35" s="22" t="s">
        <v>15</v>
      </c>
      <c r="D35" s="22"/>
      <c r="E35" s="45"/>
      <c r="F35" s="22" t="s">
        <v>475</v>
      </c>
      <c r="G35" s="22" t="s">
        <v>594</v>
      </c>
      <c r="H35" s="22"/>
      <c r="I35" s="45" t="s">
        <v>611</v>
      </c>
      <c r="J35" s="22" t="s">
        <v>476</v>
      </c>
      <c r="K35" s="22"/>
      <c r="L35" s="22"/>
      <c r="M35" s="22"/>
      <c r="N35" s="23">
        <v>0</v>
      </c>
      <c r="O35" s="24" t="s">
        <v>32</v>
      </c>
      <c r="P35" s="33"/>
      <c r="Q35" s="25"/>
      <c r="R35" s="25"/>
      <c r="S35" s="25"/>
      <c r="T35" s="25"/>
      <c r="U35" s="26">
        <v>0</v>
      </c>
      <c r="V35" s="26">
        <v>0</v>
      </c>
      <c r="W35" s="26">
        <v>0</v>
      </c>
      <c r="X35" s="26">
        <f>SUM(Tabela1[[#This Row],[Previsto Contrato (R$MM)]:[Medido (R$MM)]])</f>
        <v>0</v>
      </c>
      <c r="Y35" s="31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</row>
    <row r="36" spans="1:47" ht="108">
      <c r="A36" s="34" t="s">
        <v>537</v>
      </c>
      <c r="B36" s="34" t="s">
        <v>283</v>
      </c>
      <c r="C36" s="22" t="s">
        <v>123</v>
      </c>
      <c r="D36" s="22"/>
      <c r="E36" s="45" t="s">
        <v>128</v>
      </c>
      <c r="F36" s="22" t="s">
        <v>262</v>
      </c>
      <c r="G36" s="22" t="s">
        <v>594</v>
      </c>
      <c r="H36" s="22"/>
      <c r="I36" s="45" t="s">
        <v>118</v>
      </c>
      <c r="J36" s="22" t="s">
        <v>236</v>
      </c>
      <c r="K36" s="22"/>
      <c r="L36" s="22"/>
      <c r="M36" s="22" t="s">
        <v>669</v>
      </c>
      <c r="N36" s="23">
        <v>1</v>
      </c>
      <c r="O36" s="24" t="s">
        <v>351</v>
      </c>
      <c r="P36" s="33"/>
      <c r="Q36" s="25"/>
      <c r="R36" s="25"/>
      <c r="S36" s="25">
        <v>45897</v>
      </c>
      <c r="T36" s="25">
        <v>45897</v>
      </c>
      <c r="U36" s="26">
        <v>9.1999999999999998E-2</v>
      </c>
      <c r="V36" s="26">
        <f>61000/1000000</f>
        <v>6.0999999999999999E-2</v>
      </c>
      <c r="W36" s="26">
        <f>((10800/1000000)+Tabela1[[#This Row],[Previsto Contrato (R$MM)]])*-1</f>
        <v>-0.1028</v>
      </c>
      <c r="X36" s="26">
        <f>SUM(Tabela1[[#This Row],[Previsto Contrato (R$MM)]:[Medido (R$MM)]])</f>
        <v>5.0199999999999995E-2</v>
      </c>
      <c r="Y36" s="31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</row>
    <row r="37" spans="1:47" s="77" customFormat="1">
      <c r="A37" s="34" t="s">
        <v>538</v>
      </c>
      <c r="B37" s="34" t="s">
        <v>283</v>
      </c>
      <c r="C37" s="22" t="s">
        <v>123</v>
      </c>
      <c r="D37" s="22"/>
      <c r="E37" s="45" t="s">
        <v>128</v>
      </c>
      <c r="F37" s="22" t="s">
        <v>262</v>
      </c>
      <c r="G37" s="22" t="s">
        <v>594</v>
      </c>
      <c r="H37" s="22"/>
      <c r="I37" s="45" t="s">
        <v>117</v>
      </c>
      <c r="J37" s="22" t="s">
        <v>235</v>
      </c>
      <c r="K37" s="22"/>
      <c r="L37" s="22"/>
      <c r="M37" s="22" t="s">
        <v>669</v>
      </c>
      <c r="N37" s="23">
        <v>1</v>
      </c>
      <c r="O37" s="24" t="s">
        <v>351</v>
      </c>
      <c r="P37" s="33"/>
      <c r="Q37" s="25"/>
      <c r="R37" s="25"/>
      <c r="S37" s="25">
        <v>45897</v>
      </c>
      <c r="T37" s="25">
        <v>45897</v>
      </c>
      <c r="U37" s="26">
        <v>8.9499999999999996E-2</v>
      </c>
      <c r="V37" s="26">
        <f>61000/1000000</f>
        <v>6.0999999999999999E-2</v>
      </c>
      <c r="W37" s="26">
        <f>((10800/1000000)+Tabela1[[#This Row],[Previsto Contrato (R$MM)]])*-1</f>
        <v>-0.1003</v>
      </c>
      <c r="X37" s="26">
        <f>SUM(Tabela1[[#This Row],[Previsto Contrato (R$MM)]:[Medido (R$MM)]])</f>
        <v>5.0199999999999995E-2</v>
      </c>
      <c r="Y37" s="31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</row>
    <row r="38" spans="1:47" ht="27">
      <c r="A38" s="34" t="s">
        <v>539</v>
      </c>
      <c r="B38" s="34" t="s">
        <v>283</v>
      </c>
      <c r="C38" s="22" t="s">
        <v>123</v>
      </c>
      <c r="D38" s="22"/>
      <c r="E38" s="45" t="s">
        <v>136</v>
      </c>
      <c r="F38" s="22" t="s">
        <v>466</v>
      </c>
      <c r="G38" s="22" t="s">
        <v>596</v>
      </c>
      <c r="H38" s="22"/>
      <c r="I38" s="45" t="s">
        <v>122</v>
      </c>
      <c r="J38" s="22" t="s">
        <v>240</v>
      </c>
      <c r="K38" s="34">
        <v>0</v>
      </c>
      <c r="L38" s="34"/>
      <c r="M38" s="34" t="s">
        <v>501</v>
      </c>
      <c r="N38" s="23">
        <v>0.32</v>
      </c>
      <c r="O38" s="24" t="s">
        <v>5</v>
      </c>
      <c r="P38" s="33"/>
      <c r="Q38" s="25"/>
      <c r="R38" s="25"/>
      <c r="S38" s="25">
        <v>45952</v>
      </c>
      <c r="T38" s="25">
        <v>46142</v>
      </c>
      <c r="U38" s="26">
        <v>0.49686999999999998</v>
      </c>
      <c r="V38" s="26">
        <v>0</v>
      </c>
      <c r="W38" s="26">
        <f>-158632.33/1000000</f>
        <v>-0.15863232999999999</v>
      </c>
      <c r="X38" s="26">
        <f>SUM(Tabela1[[#This Row],[Previsto Contrato (R$MM)]:[Medido (R$MM)]])</f>
        <v>0.33823766999999999</v>
      </c>
      <c r="Y38" s="31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</row>
    <row r="39" spans="1:47">
      <c r="A39" s="34" t="s">
        <v>540</v>
      </c>
      <c r="B39" s="34" t="s">
        <v>283</v>
      </c>
      <c r="C39" s="22" t="s">
        <v>123</v>
      </c>
      <c r="D39" s="22"/>
      <c r="E39" s="45" t="s">
        <v>132</v>
      </c>
      <c r="F39" s="22" t="s">
        <v>462</v>
      </c>
      <c r="G39" s="22" t="s">
        <v>22</v>
      </c>
      <c r="H39" s="22"/>
      <c r="I39" s="45" t="s">
        <v>114</v>
      </c>
      <c r="J39" s="22" t="s">
        <v>232</v>
      </c>
      <c r="K39" s="34">
        <v>0</v>
      </c>
      <c r="L39" s="34"/>
      <c r="M39" s="34" t="s">
        <v>501</v>
      </c>
      <c r="N39" s="23">
        <v>0.01</v>
      </c>
      <c r="O39" s="24" t="s">
        <v>5</v>
      </c>
      <c r="P39" s="33"/>
      <c r="Q39" s="25"/>
      <c r="R39" s="25"/>
      <c r="S39" s="25">
        <v>45933</v>
      </c>
      <c r="T39" s="25">
        <v>46186</v>
      </c>
      <c r="U39" s="26">
        <v>1.1850000000000001</v>
      </c>
      <c r="V39" s="26">
        <v>0</v>
      </c>
      <c r="W39" s="26">
        <f>-20437.5/1000000</f>
        <v>-2.0437500000000001E-2</v>
      </c>
      <c r="X39" s="26">
        <f>SUM(Tabela1[[#This Row],[Previsto Contrato (R$MM)]:[Medido (R$MM)]])</f>
        <v>1.1645624999999999</v>
      </c>
      <c r="Y39" s="31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</row>
    <row r="40" spans="1:47">
      <c r="A40" s="34" t="s">
        <v>541</v>
      </c>
      <c r="B40" s="34" t="s">
        <v>283</v>
      </c>
      <c r="C40" s="22" t="s">
        <v>123</v>
      </c>
      <c r="D40" s="22"/>
      <c r="E40" s="45" t="s">
        <v>130</v>
      </c>
      <c r="F40" s="22" t="s">
        <v>464</v>
      </c>
      <c r="G40" s="22" t="s">
        <v>595</v>
      </c>
      <c r="H40" s="22"/>
      <c r="I40" s="45" t="s">
        <v>115</v>
      </c>
      <c r="J40" s="22" t="s">
        <v>233</v>
      </c>
      <c r="K40" s="34">
        <v>0</v>
      </c>
      <c r="L40" s="34"/>
      <c r="M40" s="34" t="s">
        <v>501</v>
      </c>
      <c r="N40" s="23">
        <v>0.36</v>
      </c>
      <c r="O40" s="64" t="s">
        <v>6</v>
      </c>
      <c r="P40" s="33"/>
      <c r="Q40" s="25"/>
      <c r="R40" s="25"/>
      <c r="S40" s="65">
        <v>45462</v>
      </c>
      <c r="T40" s="65">
        <v>46021</v>
      </c>
      <c r="U40" s="26">
        <v>2.0114624999999999</v>
      </c>
      <c r="V40" s="26">
        <v>0</v>
      </c>
      <c r="W40" s="26">
        <v>-0.72453183666082799</v>
      </c>
      <c r="X40" s="26">
        <f>SUM(Tabela1[[#This Row],[Previsto Contrato (R$MM)]:[Medido (R$MM)]])</f>
        <v>1.2869306633391719</v>
      </c>
      <c r="Y40" s="31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</row>
    <row r="41" spans="1:47">
      <c r="A41" s="34" t="s">
        <v>542</v>
      </c>
      <c r="B41" s="34" t="s">
        <v>283</v>
      </c>
      <c r="C41" s="22" t="s">
        <v>123</v>
      </c>
      <c r="D41" s="22"/>
      <c r="E41" s="45" t="s">
        <v>135</v>
      </c>
      <c r="F41" s="22" t="s">
        <v>457</v>
      </c>
      <c r="G41" s="22" t="s">
        <v>22</v>
      </c>
      <c r="H41" s="22"/>
      <c r="I41" s="45" t="s">
        <v>119</v>
      </c>
      <c r="J41" s="22" t="s">
        <v>237</v>
      </c>
      <c r="K41" s="34">
        <v>0</v>
      </c>
      <c r="L41" s="34"/>
      <c r="M41" s="34" t="s">
        <v>501</v>
      </c>
      <c r="N41" s="23">
        <v>0.85</v>
      </c>
      <c r="O41" s="24" t="s">
        <v>7</v>
      </c>
      <c r="P41" s="33"/>
      <c r="Q41" s="25"/>
      <c r="R41" s="25"/>
      <c r="S41" s="25">
        <v>45484</v>
      </c>
      <c r="T41" s="25">
        <v>46022</v>
      </c>
      <c r="U41" s="26">
        <f>7562555.4068304/1000000</f>
        <v>7.5625554068304002</v>
      </c>
      <c r="V41" s="26">
        <f>1528198.89/1000000</f>
        <v>1.5281988899999999</v>
      </c>
      <c r="W41" s="26">
        <f>-7228228.16628446/1000000</f>
        <v>-7.2282281662844596</v>
      </c>
      <c r="X41" s="26">
        <f>SUM(Tabela1[[#This Row],[Previsto Contrato (R$MM)]:[Medido (R$MM)]])</f>
        <v>1.8625261305459411</v>
      </c>
      <c r="Y41" s="31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</row>
    <row r="42" spans="1:47">
      <c r="A42" s="34" t="s">
        <v>543</v>
      </c>
      <c r="B42" s="34" t="s">
        <v>283</v>
      </c>
      <c r="C42" s="22" t="s">
        <v>123</v>
      </c>
      <c r="D42" s="22"/>
      <c r="E42" s="45" t="s">
        <v>127</v>
      </c>
      <c r="F42" s="22" t="s">
        <v>462</v>
      </c>
      <c r="G42" s="22" t="s">
        <v>598</v>
      </c>
      <c r="H42" s="22"/>
      <c r="I42" s="45" t="s">
        <v>121</v>
      </c>
      <c r="J42" s="22" t="s">
        <v>239</v>
      </c>
      <c r="K42" s="34">
        <v>0</v>
      </c>
      <c r="L42" s="34"/>
      <c r="M42" s="34" t="s">
        <v>501</v>
      </c>
      <c r="N42" s="23">
        <v>0.13</v>
      </c>
      <c r="O42" s="24" t="s">
        <v>7</v>
      </c>
      <c r="P42" s="33"/>
      <c r="Q42" s="25"/>
      <c r="R42" s="25"/>
      <c r="S42" s="25">
        <v>45676</v>
      </c>
      <c r="T42" s="25">
        <v>46038</v>
      </c>
      <c r="U42" s="26">
        <v>0.14745</v>
      </c>
      <c r="V42" s="26">
        <v>0</v>
      </c>
      <c r="W42" s="26">
        <f>-18571.58/1000000</f>
        <v>-1.8571580000000001E-2</v>
      </c>
      <c r="X42" s="26">
        <f>SUM(Tabela1[[#This Row],[Previsto Contrato (R$MM)]:[Medido (R$MM)]])</f>
        <v>0.12887841999999999</v>
      </c>
      <c r="Y42" s="31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</row>
    <row r="43" spans="1:47">
      <c r="A43" s="34" t="s">
        <v>544</v>
      </c>
      <c r="B43" s="34" t="s">
        <v>283</v>
      </c>
      <c r="C43" s="22" t="s">
        <v>123</v>
      </c>
      <c r="D43" s="22"/>
      <c r="E43" s="45" t="s">
        <v>228</v>
      </c>
      <c r="F43" s="22" t="s">
        <v>459</v>
      </c>
      <c r="G43" s="22" t="s">
        <v>596</v>
      </c>
      <c r="H43" s="22"/>
      <c r="I43" s="45" t="s">
        <v>580</v>
      </c>
      <c r="J43" s="22" t="s">
        <v>230</v>
      </c>
      <c r="K43" s="34">
        <v>0</v>
      </c>
      <c r="L43" s="34"/>
      <c r="M43" s="34" t="s">
        <v>501</v>
      </c>
      <c r="N43" s="23">
        <v>0.23</v>
      </c>
      <c r="O43" s="24" t="s">
        <v>5</v>
      </c>
      <c r="P43" s="33"/>
      <c r="Q43" s="25"/>
      <c r="R43" s="25"/>
      <c r="S43" s="25">
        <v>46226</v>
      </c>
      <c r="T43" s="25">
        <v>46226</v>
      </c>
      <c r="U43" s="26">
        <v>5.55</v>
      </c>
      <c r="V43" s="26">
        <v>0</v>
      </c>
      <c r="W43" s="26">
        <f>-1249157.77/1000000</f>
        <v>-1.2491577700000001</v>
      </c>
      <c r="X43" s="26">
        <f>SUM(Tabela1[[#This Row],[Previsto Contrato (R$MM)]:[Medido (R$MM)]])</f>
        <v>4.3008422299999998</v>
      </c>
      <c r="Y43" s="31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</row>
    <row r="44" spans="1:47">
      <c r="A44" s="34" t="s">
        <v>545</v>
      </c>
      <c r="B44" s="34" t="s">
        <v>283</v>
      </c>
      <c r="C44" s="22" t="s">
        <v>123</v>
      </c>
      <c r="D44" s="22"/>
      <c r="E44" s="45" t="s">
        <v>129</v>
      </c>
      <c r="F44" s="22" t="s">
        <v>262</v>
      </c>
      <c r="G44" s="22" t="s">
        <v>22</v>
      </c>
      <c r="H44" s="22"/>
      <c r="I44" s="45" t="s">
        <v>120</v>
      </c>
      <c r="J44" s="22" t="s">
        <v>238</v>
      </c>
      <c r="K44" s="34">
        <v>0</v>
      </c>
      <c r="L44" s="34"/>
      <c r="M44" s="34" t="s">
        <v>501</v>
      </c>
      <c r="N44" s="23">
        <v>0.85</v>
      </c>
      <c r="O44" s="24" t="s">
        <v>5</v>
      </c>
      <c r="P44" s="33"/>
      <c r="Q44" s="25"/>
      <c r="R44" s="25"/>
      <c r="S44" s="25">
        <v>45859</v>
      </c>
      <c r="T44" s="25">
        <v>46059</v>
      </c>
      <c r="U44" s="26">
        <v>3.8881949992759699</v>
      </c>
      <c r="V44" s="26">
        <v>0</v>
      </c>
      <c r="W44" s="26">
        <f>-3352565.0121259/1000000</f>
        <v>-3.3525650121259001</v>
      </c>
      <c r="X44" s="26">
        <f>SUM(Tabela1[[#This Row],[Previsto Contrato (R$MM)]:[Medido (R$MM)]])</f>
        <v>0.53562998715006982</v>
      </c>
      <c r="Y44" s="31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</row>
    <row r="45" spans="1:47" hidden="1">
      <c r="A45" s="34" t="s">
        <v>546</v>
      </c>
      <c r="B45" s="34" t="s">
        <v>283</v>
      </c>
      <c r="C45" s="22" t="s">
        <v>123</v>
      </c>
      <c r="D45" s="22"/>
      <c r="E45" s="45" t="s">
        <v>227</v>
      </c>
      <c r="F45" s="22" t="s">
        <v>459</v>
      </c>
      <c r="G45" s="22" t="s">
        <v>596</v>
      </c>
      <c r="H45" s="22"/>
      <c r="I45" s="45" t="s">
        <v>581</v>
      </c>
      <c r="J45" s="22" t="s">
        <v>229</v>
      </c>
      <c r="K45" s="34">
        <v>0</v>
      </c>
      <c r="L45" s="34"/>
      <c r="M45" s="34" t="s">
        <v>501</v>
      </c>
      <c r="N45" s="23">
        <v>1</v>
      </c>
      <c r="O45" s="24" t="s">
        <v>37</v>
      </c>
      <c r="P45" s="33"/>
      <c r="Q45" s="25"/>
      <c r="R45" s="25"/>
      <c r="S45" s="25">
        <v>46226</v>
      </c>
      <c r="T45" s="25">
        <v>46226</v>
      </c>
      <c r="U45" s="26">
        <v>0.10375</v>
      </c>
      <c r="V45" s="26">
        <v>0</v>
      </c>
      <c r="W45" s="26">
        <v>-0.10334</v>
      </c>
      <c r="X45" s="26">
        <f>SUM(Tabela1[[#This Row],[Previsto Contrato (R$MM)]:[Medido (R$MM)]])</f>
        <v>4.099999999999937E-4</v>
      </c>
      <c r="Y45" s="31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</row>
    <row r="46" spans="1:47">
      <c r="A46" s="34" t="s">
        <v>547</v>
      </c>
      <c r="B46" s="34" t="s">
        <v>283</v>
      </c>
      <c r="C46" s="22" t="s">
        <v>123</v>
      </c>
      <c r="D46" s="22"/>
      <c r="E46" s="45" t="s">
        <v>133</v>
      </c>
      <c r="F46" s="22" t="s">
        <v>262</v>
      </c>
      <c r="G46" s="22" t="s">
        <v>22</v>
      </c>
      <c r="H46" s="22"/>
      <c r="I46" s="45" t="s">
        <v>116</v>
      </c>
      <c r="J46" s="22" t="s">
        <v>234</v>
      </c>
      <c r="K46" s="22"/>
      <c r="L46" s="22"/>
      <c r="M46" s="22"/>
      <c r="N46" s="23">
        <v>0.23</v>
      </c>
      <c r="O46" s="67" t="s">
        <v>497</v>
      </c>
      <c r="P46" s="33"/>
      <c r="Q46" s="25"/>
      <c r="R46" s="25"/>
      <c r="S46" s="65">
        <v>45490</v>
      </c>
      <c r="T46" s="65">
        <v>46387</v>
      </c>
      <c r="U46" s="26">
        <v>1.1234625</v>
      </c>
      <c r="V46" s="26">
        <v>0</v>
      </c>
      <c r="W46" s="26">
        <v>-0.26462833000000002</v>
      </c>
      <c r="X46" s="26">
        <f>SUM(Tabela1[[#This Row],[Previsto Contrato (R$MM)]:[Medido (R$MM)]])</f>
        <v>0.85883416999999995</v>
      </c>
      <c r="Y46" s="31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</row>
    <row r="47" spans="1:47">
      <c r="A47" s="34" t="s">
        <v>548</v>
      </c>
      <c r="B47" s="34" t="s">
        <v>283</v>
      </c>
      <c r="C47" s="22" t="s">
        <v>123</v>
      </c>
      <c r="D47" s="22"/>
      <c r="E47" s="45" t="s">
        <v>131</v>
      </c>
      <c r="F47" s="22" t="s">
        <v>465</v>
      </c>
      <c r="G47" s="22" t="s">
        <v>595</v>
      </c>
      <c r="H47" s="22"/>
      <c r="I47" s="45" t="s">
        <v>113</v>
      </c>
      <c r="J47" s="22" t="s">
        <v>231</v>
      </c>
      <c r="K47" s="34">
        <v>0</v>
      </c>
      <c r="L47" s="34"/>
      <c r="M47" s="34" t="s">
        <v>501</v>
      </c>
      <c r="N47" s="23">
        <v>0.85</v>
      </c>
      <c r="O47" s="24" t="s">
        <v>6</v>
      </c>
      <c r="P47" s="33"/>
      <c r="Q47" s="25"/>
      <c r="R47" s="25"/>
      <c r="S47" s="25">
        <v>45078</v>
      </c>
      <c r="T47" s="25">
        <v>46080</v>
      </c>
      <c r="U47" s="26">
        <v>1.8</v>
      </c>
      <c r="V47" s="26">
        <v>0.86116806000000001</v>
      </c>
      <c r="W47" s="26">
        <f>-2275596.982/1000000</f>
        <v>-2.2755969819999997</v>
      </c>
      <c r="X47" s="26">
        <f>SUM(Tabela1[[#This Row],[Previsto Contrato (R$MM)]:[Medido (R$MM)]])</f>
        <v>0.38557107800000034</v>
      </c>
      <c r="Y47" s="31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</row>
    <row r="48" spans="1:47">
      <c r="A48" s="34" t="s">
        <v>549</v>
      </c>
      <c r="B48" s="71" t="s">
        <v>488</v>
      </c>
      <c r="C48" s="45" t="s">
        <v>123</v>
      </c>
      <c r="D48" s="45"/>
      <c r="E48" s="45"/>
      <c r="F48" s="45"/>
      <c r="G48" s="22" t="s">
        <v>22</v>
      </c>
      <c r="H48" s="22"/>
      <c r="I48" s="45" t="s">
        <v>116</v>
      </c>
      <c r="J48" s="45" t="s">
        <v>234</v>
      </c>
      <c r="K48" s="34">
        <v>0</v>
      </c>
      <c r="L48" s="34"/>
      <c r="M48" s="34" t="s">
        <v>501</v>
      </c>
      <c r="N48" s="23">
        <v>0</v>
      </c>
      <c r="O48" s="72" t="s">
        <v>5</v>
      </c>
      <c r="P48" s="65">
        <v>45490</v>
      </c>
      <c r="Q48" s="65">
        <v>46387</v>
      </c>
      <c r="R48" s="25"/>
      <c r="S48" s="73"/>
      <c r="T48" s="73"/>
      <c r="U48" s="74"/>
      <c r="V48" s="74"/>
      <c r="W48" s="74"/>
      <c r="X48" s="74">
        <f>SUM(Tabela1[[#This Row],[Previsto Contrato (R$MM)]:[Medido (R$MM)]])</f>
        <v>0</v>
      </c>
      <c r="Y48" s="75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46"/>
    </row>
    <row r="49" spans="1:47">
      <c r="A49" s="34" t="s">
        <v>550</v>
      </c>
      <c r="B49" s="34" t="s">
        <v>283</v>
      </c>
      <c r="C49" s="22" t="s">
        <v>38</v>
      </c>
      <c r="D49" s="22"/>
      <c r="E49" s="45" t="s">
        <v>84</v>
      </c>
      <c r="F49" s="22" t="s">
        <v>262</v>
      </c>
      <c r="G49" s="22" t="s">
        <v>20</v>
      </c>
      <c r="H49" s="22"/>
      <c r="I49" s="45" t="s">
        <v>468</v>
      </c>
      <c r="J49" s="22" t="s">
        <v>91</v>
      </c>
      <c r="K49" s="34">
        <v>0</v>
      </c>
      <c r="L49" s="34"/>
      <c r="M49" s="34" t="s">
        <v>501</v>
      </c>
      <c r="N49" s="23">
        <v>0.86</v>
      </c>
      <c r="O49" s="64" t="s">
        <v>6</v>
      </c>
      <c r="P49" s="33"/>
      <c r="Q49" s="25"/>
      <c r="R49" s="25"/>
      <c r="S49" s="65">
        <v>46038</v>
      </c>
      <c r="T49" s="65">
        <v>46111</v>
      </c>
      <c r="U49" s="26">
        <v>2.58</v>
      </c>
      <c r="V49" s="26">
        <v>0</v>
      </c>
      <c r="W49" s="26">
        <v>-2.4500000000000002</v>
      </c>
      <c r="X49" s="26">
        <f>SUM(Tabela1[[#This Row],[Previsto Contrato (R$MM)]:[Medido (R$MM)]])</f>
        <v>0.12999999999999989</v>
      </c>
      <c r="Y49" s="31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</row>
    <row r="50" spans="1:47">
      <c r="A50" s="34" t="s">
        <v>551</v>
      </c>
      <c r="B50" s="34" t="s">
        <v>283</v>
      </c>
      <c r="C50" s="22" t="s">
        <v>38</v>
      </c>
      <c r="D50" s="22"/>
      <c r="E50" s="45" t="s">
        <v>84</v>
      </c>
      <c r="F50" s="22" t="s">
        <v>262</v>
      </c>
      <c r="G50" s="22" t="s">
        <v>20</v>
      </c>
      <c r="H50" s="22"/>
      <c r="I50" s="45" t="s">
        <v>470</v>
      </c>
      <c r="J50" s="22" t="s">
        <v>90</v>
      </c>
      <c r="K50" s="34">
        <v>0</v>
      </c>
      <c r="L50" s="34"/>
      <c r="M50" s="34" t="s">
        <v>501</v>
      </c>
      <c r="N50" s="23">
        <v>0.94</v>
      </c>
      <c r="O50" s="24" t="s">
        <v>6</v>
      </c>
      <c r="P50" s="33"/>
      <c r="Q50" s="25"/>
      <c r="R50" s="25"/>
      <c r="S50" s="25">
        <v>45991</v>
      </c>
      <c r="T50" s="25">
        <v>46091</v>
      </c>
      <c r="U50" s="26">
        <v>0.61</v>
      </c>
      <c r="V50" s="26">
        <v>0</v>
      </c>
      <c r="W50" s="26">
        <v>-0.59</v>
      </c>
      <c r="X50" s="26">
        <f>SUM(Tabela1[[#This Row],[Previsto Contrato (R$MM)]:[Medido (R$MM)]])</f>
        <v>2.0000000000000018E-2</v>
      </c>
      <c r="Y50" s="31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</row>
    <row r="51" spans="1:47">
      <c r="A51" s="34" t="s">
        <v>553</v>
      </c>
      <c r="B51" s="34" t="s">
        <v>396</v>
      </c>
      <c r="C51" s="22"/>
      <c r="D51" s="22"/>
      <c r="E51" s="45"/>
      <c r="F51" s="22" t="s">
        <v>473</v>
      </c>
      <c r="G51" s="22" t="s">
        <v>597</v>
      </c>
      <c r="H51" s="22"/>
      <c r="I51" s="45" t="s">
        <v>388</v>
      </c>
      <c r="J51" s="22" t="s">
        <v>660</v>
      </c>
      <c r="K51" s="34">
        <v>0</v>
      </c>
      <c r="L51" s="22"/>
      <c r="M51" s="79">
        <v>11110</v>
      </c>
      <c r="N51" s="23">
        <v>0</v>
      </c>
      <c r="O51" s="24" t="s">
        <v>32</v>
      </c>
      <c r="P51" s="33"/>
      <c r="Q51" s="25"/>
      <c r="R51" s="25"/>
      <c r="S51" s="25" t="s">
        <v>397</v>
      </c>
      <c r="T51" s="25"/>
      <c r="U51" s="26"/>
      <c r="V51" s="26"/>
      <c r="W51" s="26"/>
      <c r="X51" s="26">
        <f>SUM(Tabela1[[#This Row],[Previsto Contrato (R$MM)]:[Medido (R$MM)]])</f>
        <v>0</v>
      </c>
      <c r="Y51" s="31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</row>
    <row r="52" spans="1:47" hidden="1">
      <c r="A52" s="34" t="s">
        <v>552</v>
      </c>
      <c r="B52" s="34" t="s">
        <v>283</v>
      </c>
      <c r="C52" s="22" t="s">
        <v>38</v>
      </c>
      <c r="D52" s="22"/>
      <c r="E52" s="45" t="s">
        <v>88</v>
      </c>
      <c r="F52" s="22"/>
      <c r="G52" s="22" t="s">
        <v>20</v>
      </c>
      <c r="H52" s="22"/>
      <c r="I52" s="45" t="s">
        <v>159</v>
      </c>
      <c r="J52" s="22" t="s">
        <v>89</v>
      </c>
      <c r="K52" s="22"/>
      <c r="L52" s="22"/>
      <c r="M52" s="22"/>
      <c r="N52" s="23">
        <v>1</v>
      </c>
      <c r="O52" s="24" t="s">
        <v>37</v>
      </c>
      <c r="P52" s="33"/>
      <c r="Q52" s="25"/>
      <c r="R52" s="25"/>
      <c r="S52" s="25">
        <v>45930</v>
      </c>
      <c r="T52" s="25">
        <v>45991</v>
      </c>
      <c r="U52" s="26">
        <v>0.01</v>
      </c>
      <c r="V52" s="26">
        <v>0</v>
      </c>
      <c r="W52" s="26">
        <v>0</v>
      </c>
      <c r="X52" s="26">
        <f>SUM(Tabela1[[#This Row],[Previsto Contrato (R$MM)]:[Medido (R$MM)]])</f>
        <v>0.01</v>
      </c>
      <c r="Y52" s="31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</row>
    <row r="53" spans="1:47" ht="15.75" customHeight="1">
      <c r="A53" s="34" t="s">
        <v>554</v>
      </c>
      <c r="B53" s="34" t="s">
        <v>396</v>
      </c>
      <c r="C53" s="22"/>
      <c r="D53" s="22"/>
      <c r="E53" s="45"/>
      <c r="F53" s="22" t="s">
        <v>473</v>
      </c>
      <c r="G53" s="22" t="s">
        <v>597</v>
      </c>
      <c r="H53" s="22"/>
      <c r="I53" s="45" t="s">
        <v>389</v>
      </c>
      <c r="J53" s="22" t="s">
        <v>667</v>
      </c>
      <c r="K53" s="34">
        <v>0</v>
      </c>
      <c r="L53" s="22"/>
      <c r="M53" s="22"/>
      <c r="N53" s="23">
        <v>0</v>
      </c>
      <c r="O53" s="24" t="s">
        <v>32</v>
      </c>
      <c r="P53" s="33"/>
      <c r="Q53" s="25"/>
      <c r="R53" s="25"/>
      <c r="S53" s="25"/>
      <c r="T53" s="25"/>
      <c r="U53" s="26"/>
      <c r="V53" s="26"/>
      <c r="W53" s="26"/>
      <c r="X53" s="26">
        <f>SUM(Tabela1[[#This Row],[Previsto Contrato (R$MM)]:[Medido (R$MM)]])</f>
        <v>0</v>
      </c>
      <c r="Y53" s="31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</row>
    <row r="54" spans="1:47" ht="15.75" customHeight="1">
      <c r="A54" s="34" t="s">
        <v>555</v>
      </c>
      <c r="B54" s="34" t="s">
        <v>396</v>
      </c>
      <c r="C54" s="22"/>
      <c r="D54" s="22"/>
      <c r="E54" s="45"/>
      <c r="F54" s="22" t="s">
        <v>473</v>
      </c>
      <c r="G54" s="22" t="s">
        <v>597</v>
      </c>
      <c r="H54" s="22"/>
      <c r="I54" s="45" t="s">
        <v>390</v>
      </c>
      <c r="J54" s="22" t="s">
        <v>661</v>
      </c>
      <c r="K54" s="34">
        <v>0</v>
      </c>
      <c r="L54" s="22"/>
      <c r="M54" s="22"/>
      <c r="N54" s="23">
        <v>0</v>
      </c>
      <c r="O54" s="24" t="s">
        <v>32</v>
      </c>
      <c r="P54" s="33"/>
      <c r="Q54" s="25"/>
      <c r="R54" s="25"/>
      <c r="S54" s="28"/>
      <c r="T54" s="28"/>
      <c r="U54" s="46"/>
      <c r="V54" s="46"/>
      <c r="W54" s="46"/>
      <c r="X54" s="46">
        <f>SUM(Tabela1[[#This Row],[Previsto Contrato (R$MM)]:[Medido (R$MM)]])</f>
        <v>0</v>
      </c>
      <c r="Y54" s="31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</row>
    <row r="55" spans="1:47" ht="15.75" customHeight="1">
      <c r="A55" s="34" t="s">
        <v>556</v>
      </c>
      <c r="B55" s="34" t="s">
        <v>396</v>
      </c>
      <c r="C55" s="22"/>
      <c r="D55" s="22"/>
      <c r="E55" s="45"/>
      <c r="F55" s="22" t="s">
        <v>473</v>
      </c>
      <c r="G55" s="22" t="s">
        <v>597</v>
      </c>
      <c r="H55" s="22"/>
      <c r="I55" s="45" t="s">
        <v>391</v>
      </c>
      <c r="J55" s="22" t="s">
        <v>663</v>
      </c>
      <c r="K55" s="34">
        <v>0</v>
      </c>
      <c r="L55" s="22"/>
      <c r="M55" s="22"/>
      <c r="N55" s="23">
        <v>0</v>
      </c>
      <c r="O55" s="24" t="s">
        <v>32</v>
      </c>
      <c r="P55" s="33"/>
      <c r="Q55" s="25"/>
      <c r="R55" s="25"/>
      <c r="S55" s="21"/>
      <c r="T55" s="21"/>
      <c r="U55" s="46"/>
      <c r="V55" s="46"/>
      <c r="W55" s="46"/>
      <c r="X55" s="46">
        <f>SUM(Tabela1[[#This Row],[Previsto Contrato (R$MM)]:[Medido (R$MM)]])</f>
        <v>0</v>
      </c>
      <c r="Y55" s="31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</row>
    <row r="56" spans="1:47" ht="15.75" customHeight="1">
      <c r="A56" s="34" t="s">
        <v>557</v>
      </c>
      <c r="B56" s="34" t="s">
        <v>396</v>
      </c>
      <c r="C56" s="22"/>
      <c r="D56" s="22"/>
      <c r="E56" s="45"/>
      <c r="F56" s="22" t="s">
        <v>473</v>
      </c>
      <c r="G56" s="22" t="s">
        <v>597</v>
      </c>
      <c r="H56" s="22"/>
      <c r="I56" s="45" t="s">
        <v>392</v>
      </c>
      <c r="J56" s="22" t="s">
        <v>662</v>
      </c>
      <c r="K56" s="34">
        <v>0</v>
      </c>
      <c r="L56" s="22"/>
      <c r="M56" s="22"/>
      <c r="N56" s="23">
        <v>0</v>
      </c>
      <c r="O56" s="24" t="s">
        <v>32</v>
      </c>
      <c r="P56" s="33"/>
      <c r="Q56" s="25"/>
      <c r="R56" s="25"/>
      <c r="S56" s="21"/>
      <c r="T56" s="21"/>
      <c r="U56" s="46"/>
      <c r="V56" s="46"/>
      <c r="W56" s="46"/>
      <c r="X56" s="46">
        <f>SUM(Tabela1[[#This Row],[Previsto Contrato (R$MM)]:[Medido (R$MM)]])</f>
        <v>0</v>
      </c>
      <c r="Y56" s="31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</row>
    <row r="57" spans="1:47" ht="15.75" customHeight="1">
      <c r="A57" s="34" t="s">
        <v>558</v>
      </c>
      <c r="B57" s="34" t="s">
        <v>396</v>
      </c>
      <c r="C57" s="22"/>
      <c r="D57" s="22"/>
      <c r="E57" s="45"/>
      <c r="F57" s="22" t="s">
        <v>473</v>
      </c>
      <c r="G57" s="22" t="s">
        <v>597</v>
      </c>
      <c r="H57" s="22"/>
      <c r="I57" s="45" t="s">
        <v>393</v>
      </c>
      <c r="J57" s="22" t="s">
        <v>664</v>
      </c>
      <c r="K57" s="34">
        <v>0</v>
      </c>
      <c r="L57" s="22"/>
      <c r="M57" s="22"/>
      <c r="N57" s="23">
        <v>0</v>
      </c>
      <c r="O57" s="24" t="s">
        <v>32</v>
      </c>
      <c r="P57" s="33"/>
      <c r="Q57" s="25"/>
      <c r="R57" s="25"/>
      <c r="S57" s="21"/>
      <c r="T57" s="21"/>
      <c r="U57" s="46"/>
      <c r="V57" s="46"/>
      <c r="W57" s="46"/>
      <c r="X57" s="46">
        <f>SUM(Tabela1[[#This Row],[Previsto Contrato (R$MM)]:[Medido (R$MM)]])</f>
        <v>0</v>
      </c>
      <c r="Y57" s="31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</row>
    <row r="58" spans="1:47" ht="15.75" customHeight="1">
      <c r="A58" s="34" t="s">
        <v>559</v>
      </c>
      <c r="B58" s="34" t="s">
        <v>396</v>
      </c>
      <c r="C58" s="22"/>
      <c r="D58" s="22"/>
      <c r="E58" s="45"/>
      <c r="F58" s="22" t="s">
        <v>473</v>
      </c>
      <c r="G58" s="22" t="s">
        <v>597</v>
      </c>
      <c r="H58" s="22"/>
      <c r="I58" s="45" t="s">
        <v>394</v>
      </c>
      <c r="J58" s="22" t="s">
        <v>665</v>
      </c>
      <c r="K58" s="34">
        <v>0</v>
      </c>
      <c r="L58" s="22"/>
      <c r="M58" s="22"/>
      <c r="N58" s="23">
        <v>0</v>
      </c>
      <c r="O58" s="24" t="s">
        <v>32</v>
      </c>
      <c r="P58" s="33"/>
      <c r="Q58" s="25"/>
      <c r="R58" s="25"/>
      <c r="S58" s="21"/>
      <c r="T58" s="21"/>
      <c r="U58" s="46"/>
      <c r="V58" s="46"/>
      <c r="W58" s="46"/>
      <c r="X58" s="46">
        <f>SUM(Tabela1[[#This Row],[Previsto Contrato (R$MM)]:[Medido (R$MM)]])</f>
        <v>0</v>
      </c>
      <c r="Y58" s="31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</row>
    <row r="59" spans="1:47" ht="15.75" customHeight="1">
      <c r="A59" s="34" t="s">
        <v>560</v>
      </c>
      <c r="B59" s="34" t="s">
        <v>396</v>
      </c>
      <c r="C59" s="22"/>
      <c r="D59" s="22"/>
      <c r="E59" s="45"/>
      <c r="F59" s="22" t="s">
        <v>473</v>
      </c>
      <c r="G59" s="22" t="s">
        <v>597</v>
      </c>
      <c r="H59" s="22"/>
      <c r="I59" s="45" t="s">
        <v>395</v>
      </c>
      <c r="J59" s="22" t="s">
        <v>666</v>
      </c>
      <c r="K59" s="34">
        <v>0</v>
      </c>
      <c r="L59" s="22"/>
      <c r="M59" s="22"/>
      <c r="N59" s="23">
        <v>0</v>
      </c>
      <c r="O59" s="24" t="s">
        <v>32</v>
      </c>
      <c r="P59" s="33"/>
      <c r="Q59" s="25"/>
      <c r="R59" s="25"/>
      <c r="S59" s="21"/>
      <c r="T59" s="21"/>
      <c r="U59" s="46"/>
      <c r="V59" s="46"/>
      <c r="W59" s="46"/>
      <c r="X59" s="46">
        <f>SUM(Tabela1[[#This Row],[Previsto Contrato (R$MM)]:[Medido (R$MM)]])</f>
        <v>0</v>
      </c>
      <c r="Y59" s="31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</row>
    <row r="60" spans="1:47" ht="15.75" customHeight="1">
      <c r="A60" s="34" t="s">
        <v>578</v>
      </c>
      <c r="B60" s="34" t="s">
        <v>396</v>
      </c>
      <c r="C60" s="22"/>
      <c r="D60" s="22"/>
      <c r="E60" s="45"/>
      <c r="F60" s="22"/>
      <c r="G60" s="22" t="s">
        <v>595</v>
      </c>
      <c r="H60" s="22"/>
      <c r="I60" s="45" t="s">
        <v>612</v>
      </c>
      <c r="J60" s="22"/>
      <c r="K60" s="22"/>
      <c r="L60" s="22"/>
      <c r="M60" s="22"/>
      <c r="N60" s="23"/>
      <c r="O60" s="24"/>
      <c r="P60" s="33"/>
      <c r="Q60" s="25"/>
      <c r="R60" s="25"/>
      <c r="S60" s="25"/>
      <c r="T60" s="25"/>
      <c r="U60" s="26"/>
      <c r="V60" s="26"/>
      <c r="W60" s="26"/>
      <c r="X60" s="26">
        <f>SUM(Tabela1[[#This Row],[Previsto Contrato (R$MM)]:[Medido (R$MM)]])</f>
        <v>0</v>
      </c>
      <c r="Y60" s="31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</row>
    <row r="61" spans="1:47" ht="27">
      <c r="A61" s="34" t="s">
        <v>579</v>
      </c>
      <c r="B61" s="34" t="s">
        <v>396</v>
      </c>
      <c r="C61" s="22"/>
      <c r="D61" s="22"/>
      <c r="E61" s="45"/>
      <c r="F61" s="22"/>
      <c r="G61" s="22" t="s">
        <v>595</v>
      </c>
      <c r="H61" s="22"/>
      <c r="I61" s="45" t="s">
        <v>613</v>
      </c>
      <c r="J61" s="22"/>
      <c r="K61" s="22"/>
      <c r="L61" s="22"/>
      <c r="M61" s="22"/>
      <c r="N61" s="23"/>
      <c r="O61" s="56"/>
      <c r="P61" s="33"/>
      <c r="Q61" s="25"/>
      <c r="R61" s="25"/>
      <c r="S61" s="28"/>
      <c r="T61" s="28"/>
      <c r="U61" s="46"/>
      <c r="V61" s="46"/>
      <c r="W61" s="46"/>
      <c r="X61" s="46">
        <f>SUM(Tabela1[[#This Row],[Previsto Contrato (R$MM)]:[Medido (R$MM)]])</f>
        <v>0</v>
      </c>
      <c r="Y61" s="31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</row>
    <row r="62" spans="1:47" ht="27">
      <c r="A62" s="34" t="s">
        <v>614</v>
      </c>
      <c r="B62" s="34" t="s">
        <v>396</v>
      </c>
      <c r="C62" s="22"/>
      <c r="D62" s="22"/>
      <c r="E62" s="45"/>
      <c r="F62" s="22"/>
      <c r="G62" s="22"/>
      <c r="H62" s="22"/>
      <c r="I62" s="45" t="s">
        <v>636</v>
      </c>
      <c r="J62" s="22" t="s">
        <v>658</v>
      </c>
      <c r="K62" s="22"/>
      <c r="L62" s="22"/>
      <c r="M62" s="22"/>
      <c r="N62" s="23"/>
      <c r="O62" s="56"/>
      <c r="P62" s="33"/>
      <c r="Q62" s="25"/>
      <c r="R62" s="25"/>
      <c r="S62" s="28"/>
      <c r="T62" s="28"/>
      <c r="U62" s="46"/>
      <c r="V62" s="46"/>
      <c r="W62" s="46"/>
      <c r="X62" s="46">
        <f>SUM(Tabela1[[#This Row],[Previsto Contrato (R$MM)]:[Medido (R$MM)]])</f>
        <v>0</v>
      </c>
      <c r="Y62" s="31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</row>
    <row r="63" spans="1:47">
      <c r="A63" s="34" t="s">
        <v>615</v>
      </c>
      <c r="B63" s="34" t="s">
        <v>396</v>
      </c>
      <c r="C63" s="22"/>
      <c r="D63" s="22"/>
      <c r="E63" s="45"/>
      <c r="F63" s="22"/>
      <c r="G63" s="22"/>
      <c r="H63" s="22"/>
      <c r="I63" s="45" t="s">
        <v>637</v>
      </c>
      <c r="J63" s="22" t="s">
        <v>659</v>
      </c>
      <c r="K63" s="22"/>
      <c r="L63" s="22"/>
      <c r="M63" s="22"/>
      <c r="N63" s="23"/>
      <c r="O63" s="56"/>
      <c r="P63" s="33"/>
      <c r="Q63" s="25"/>
      <c r="R63" s="25"/>
      <c r="S63" s="28"/>
      <c r="T63" s="28"/>
      <c r="U63" s="46"/>
      <c r="V63" s="46"/>
      <c r="W63" s="46"/>
      <c r="X63" s="46">
        <f>SUM(Tabela1[[#This Row],[Previsto Contrato (R$MM)]:[Medido (R$MM)]])</f>
        <v>0</v>
      </c>
      <c r="Y63" s="31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</row>
    <row r="64" spans="1:47">
      <c r="A64" s="34" t="s">
        <v>616</v>
      </c>
      <c r="B64" s="34" t="s">
        <v>396</v>
      </c>
      <c r="C64" s="22"/>
      <c r="D64" s="22"/>
      <c r="E64" s="45"/>
      <c r="F64" s="22"/>
      <c r="G64" s="22"/>
      <c r="H64" s="22"/>
      <c r="I64" s="45" t="s">
        <v>638</v>
      </c>
      <c r="J64" s="22"/>
      <c r="K64" s="22"/>
      <c r="L64" s="22"/>
      <c r="M64" s="22"/>
      <c r="N64" s="23"/>
      <c r="O64" s="56"/>
      <c r="P64" s="33"/>
      <c r="Q64" s="25"/>
      <c r="R64" s="25"/>
      <c r="S64" s="28"/>
      <c r="T64" s="28"/>
      <c r="U64" s="46"/>
      <c r="V64" s="46"/>
      <c r="W64" s="46"/>
      <c r="X64" s="46">
        <f>SUM(Tabela1[[#This Row],[Previsto Contrato (R$MM)]:[Medido (R$MM)]])</f>
        <v>0</v>
      </c>
      <c r="Y64" s="31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</row>
    <row r="65" spans="1:47">
      <c r="A65" s="34" t="s">
        <v>617</v>
      </c>
      <c r="B65" s="34" t="s">
        <v>396</v>
      </c>
      <c r="C65" s="22"/>
      <c r="D65" s="22"/>
      <c r="E65" s="45"/>
      <c r="F65" s="22"/>
      <c r="G65" s="22"/>
      <c r="H65" s="22"/>
      <c r="I65" s="45" t="s">
        <v>639</v>
      </c>
      <c r="J65" s="22"/>
      <c r="K65" s="22"/>
      <c r="L65" s="22"/>
      <c r="M65" s="22"/>
      <c r="N65" s="23"/>
      <c r="O65" s="56"/>
      <c r="P65" s="33"/>
      <c r="Q65" s="25"/>
      <c r="R65" s="25"/>
      <c r="S65" s="28"/>
      <c r="T65" s="28"/>
      <c r="U65" s="46"/>
      <c r="V65" s="46"/>
      <c r="W65" s="46"/>
      <c r="X65" s="46">
        <f>SUM(Tabela1[[#This Row],[Previsto Contrato (R$MM)]:[Medido (R$MM)]])</f>
        <v>0</v>
      </c>
      <c r="Y65" s="31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</row>
    <row r="66" spans="1:47">
      <c r="A66" s="34" t="s">
        <v>618</v>
      </c>
      <c r="B66" s="34" t="s">
        <v>396</v>
      </c>
      <c r="C66" s="22"/>
      <c r="D66" s="22"/>
      <c r="E66" s="45"/>
      <c r="F66" s="22"/>
      <c r="G66" s="22"/>
      <c r="H66" s="22"/>
      <c r="I66" s="45" t="s">
        <v>640</v>
      </c>
      <c r="J66" s="22"/>
      <c r="K66" s="22"/>
      <c r="L66" s="22"/>
      <c r="M66" s="22"/>
      <c r="N66" s="23"/>
      <c r="O66" s="56"/>
      <c r="P66" s="33"/>
      <c r="Q66" s="25"/>
      <c r="R66" s="25"/>
      <c r="S66" s="28"/>
      <c r="T66" s="28"/>
      <c r="U66" s="46"/>
      <c r="V66" s="46"/>
      <c r="W66" s="46"/>
      <c r="X66" s="46">
        <f>SUM(Tabela1[[#This Row],[Previsto Contrato (R$MM)]:[Medido (R$MM)]])</f>
        <v>0</v>
      </c>
      <c r="Y66" s="31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</row>
    <row r="67" spans="1:47">
      <c r="A67" s="34" t="s">
        <v>619</v>
      </c>
      <c r="B67" s="34" t="s">
        <v>396</v>
      </c>
      <c r="C67" s="22"/>
      <c r="D67" s="22"/>
      <c r="E67" s="45"/>
      <c r="F67" s="22"/>
      <c r="G67" s="22"/>
      <c r="H67" s="22"/>
      <c r="I67" s="45" t="s">
        <v>641</v>
      </c>
      <c r="J67" s="22"/>
      <c r="K67" s="22"/>
      <c r="L67" s="22"/>
      <c r="M67" s="22"/>
      <c r="N67" s="23"/>
      <c r="O67" s="56"/>
      <c r="P67" s="33"/>
      <c r="Q67" s="25"/>
      <c r="R67" s="25"/>
      <c r="S67" s="28"/>
      <c r="T67" s="28"/>
      <c r="U67" s="46"/>
      <c r="V67" s="46"/>
      <c r="W67" s="46"/>
      <c r="X67" s="46">
        <f>SUM(Tabela1[[#This Row],[Previsto Contrato (R$MM)]:[Medido (R$MM)]])</f>
        <v>0</v>
      </c>
      <c r="Y67" s="31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</row>
    <row r="68" spans="1:47">
      <c r="A68" s="34" t="s">
        <v>620</v>
      </c>
      <c r="B68" s="34" t="s">
        <v>396</v>
      </c>
      <c r="C68" s="22"/>
      <c r="D68" s="22"/>
      <c r="E68" s="45"/>
      <c r="F68" s="22"/>
      <c r="G68" s="22"/>
      <c r="H68" s="22"/>
      <c r="I68" s="45" t="s">
        <v>642</v>
      </c>
      <c r="J68" s="22"/>
      <c r="K68" s="22"/>
      <c r="L68" s="22"/>
      <c r="M68" s="22"/>
      <c r="N68" s="23"/>
      <c r="O68" s="56"/>
      <c r="P68" s="33"/>
      <c r="Q68" s="25"/>
      <c r="R68" s="25"/>
      <c r="S68" s="28"/>
      <c r="T68" s="28"/>
      <c r="U68" s="46"/>
      <c r="V68" s="46"/>
      <c r="W68" s="46"/>
      <c r="X68" s="46">
        <f>SUM(Tabela1[[#This Row],[Previsto Contrato (R$MM)]:[Medido (R$MM)]])</f>
        <v>0</v>
      </c>
      <c r="Y68" s="31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</row>
    <row r="69" spans="1:47">
      <c r="A69" s="34" t="s">
        <v>621</v>
      </c>
      <c r="B69" s="34" t="s">
        <v>396</v>
      </c>
      <c r="C69" s="22"/>
      <c r="D69" s="22"/>
      <c r="E69" s="45"/>
      <c r="F69" s="22"/>
      <c r="G69" s="22"/>
      <c r="H69" s="22"/>
      <c r="I69" s="45" t="s">
        <v>643</v>
      </c>
      <c r="J69" s="22"/>
      <c r="K69" s="22"/>
      <c r="L69" s="22"/>
      <c r="M69" s="22"/>
      <c r="N69" s="23"/>
      <c r="O69" s="56"/>
      <c r="P69" s="33"/>
      <c r="Q69" s="25"/>
      <c r="R69" s="25"/>
      <c r="S69" s="28"/>
      <c r="T69" s="28"/>
      <c r="U69" s="46"/>
      <c r="V69" s="46"/>
      <c r="W69" s="46"/>
      <c r="X69" s="46">
        <f>SUM(Tabela1[[#This Row],[Previsto Contrato (R$MM)]:[Medido (R$MM)]])</f>
        <v>0</v>
      </c>
      <c r="Y69" s="31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</row>
    <row r="70" spans="1:47">
      <c r="A70" s="34" t="s">
        <v>622</v>
      </c>
      <c r="B70" s="34" t="s">
        <v>396</v>
      </c>
      <c r="C70" s="22"/>
      <c r="D70" s="22"/>
      <c r="E70" s="45"/>
      <c r="F70" s="22"/>
      <c r="G70" s="22"/>
      <c r="H70" s="22"/>
      <c r="I70" s="45" t="s">
        <v>644</v>
      </c>
      <c r="J70" s="22"/>
      <c r="K70" s="22"/>
      <c r="L70" s="22"/>
      <c r="M70" s="22"/>
      <c r="N70" s="23"/>
      <c r="O70" s="56"/>
      <c r="P70" s="33"/>
      <c r="Q70" s="25"/>
      <c r="R70" s="25"/>
      <c r="S70" s="28"/>
      <c r="T70" s="28"/>
      <c r="U70" s="46"/>
      <c r="V70" s="46"/>
      <c r="W70" s="46"/>
      <c r="X70" s="46">
        <f>SUM(Tabela1[[#This Row],[Previsto Contrato (R$MM)]:[Medido (R$MM)]])</f>
        <v>0</v>
      </c>
      <c r="Y70" s="31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</row>
    <row r="71" spans="1:47">
      <c r="A71" s="34" t="s">
        <v>623</v>
      </c>
      <c r="B71" s="34" t="s">
        <v>396</v>
      </c>
      <c r="C71" s="22"/>
      <c r="D71" s="22"/>
      <c r="E71" s="45"/>
      <c r="F71" s="22"/>
      <c r="G71" s="22"/>
      <c r="H71" s="22"/>
      <c r="I71" s="45" t="s">
        <v>645</v>
      </c>
      <c r="J71" s="22"/>
      <c r="K71" s="22"/>
      <c r="L71" s="22"/>
      <c r="M71" s="22"/>
      <c r="N71" s="23"/>
      <c r="O71" s="56"/>
      <c r="P71" s="33"/>
      <c r="Q71" s="25"/>
      <c r="R71" s="25"/>
      <c r="S71" s="28"/>
      <c r="T71" s="28"/>
      <c r="U71" s="46"/>
      <c r="V71" s="46"/>
      <c r="W71" s="46"/>
      <c r="X71" s="46">
        <f>SUM(Tabela1[[#This Row],[Previsto Contrato (R$MM)]:[Medido (R$MM)]])</f>
        <v>0</v>
      </c>
      <c r="Y71" s="31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</row>
    <row r="72" spans="1:47">
      <c r="A72" s="34" t="s">
        <v>624</v>
      </c>
      <c r="B72" s="34" t="s">
        <v>396</v>
      </c>
      <c r="C72" s="22"/>
      <c r="D72" s="22"/>
      <c r="E72" s="45"/>
      <c r="F72" s="22"/>
      <c r="G72" s="22"/>
      <c r="H72" s="22"/>
      <c r="I72" s="45" t="s">
        <v>646</v>
      </c>
      <c r="J72" s="22"/>
      <c r="K72" s="22"/>
      <c r="L72" s="22"/>
      <c r="M72" s="22"/>
      <c r="N72" s="23"/>
      <c r="O72" s="56"/>
      <c r="P72" s="33"/>
      <c r="Q72" s="25"/>
      <c r="R72" s="25"/>
      <c r="S72" s="28"/>
      <c r="T72" s="28"/>
      <c r="U72" s="46"/>
      <c r="V72" s="46"/>
      <c r="W72" s="46"/>
      <c r="X72" s="46">
        <f>SUM(Tabela1[[#This Row],[Previsto Contrato (R$MM)]:[Medido (R$MM)]])</f>
        <v>0</v>
      </c>
      <c r="Y72" s="31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</row>
    <row r="73" spans="1:47">
      <c r="A73" s="34" t="s">
        <v>625</v>
      </c>
      <c r="B73" s="34" t="s">
        <v>396</v>
      </c>
      <c r="C73" s="22"/>
      <c r="D73" s="22"/>
      <c r="E73" s="45"/>
      <c r="F73" s="22"/>
      <c r="G73" s="22"/>
      <c r="H73" s="22"/>
      <c r="I73" s="45" t="s">
        <v>647</v>
      </c>
      <c r="J73" s="22"/>
      <c r="K73" s="22"/>
      <c r="L73" s="22"/>
      <c r="M73" s="22"/>
      <c r="N73" s="23"/>
      <c r="O73" s="56"/>
      <c r="P73" s="33"/>
      <c r="Q73" s="25"/>
      <c r="R73" s="25"/>
      <c r="S73" s="28"/>
      <c r="T73" s="28"/>
      <c r="U73" s="46"/>
      <c r="V73" s="46"/>
      <c r="W73" s="46"/>
      <c r="X73" s="46">
        <f>SUM(Tabela1[[#This Row],[Previsto Contrato (R$MM)]:[Medido (R$MM)]])</f>
        <v>0</v>
      </c>
      <c r="Y73" s="31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</row>
    <row r="74" spans="1:47">
      <c r="A74" s="34" t="s">
        <v>626</v>
      </c>
      <c r="B74" s="34" t="s">
        <v>396</v>
      </c>
      <c r="C74" s="22"/>
      <c r="D74" s="22"/>
      <c r="E74" s="45"/>
      <c r="F74" s="22"/>
      <c r="G74" s="22"/>
      <c r="H74" s="22"/>
      <c r="I74" s="45" t="s">
        <v>648</v>
      </c>
      <c r="J74" s="22"/>
      <c r="K74" s="22"/>
      <c r="L74" s="22"/>
      <c r="M74" s="22"/>
      <c r="N74" s="23"/>
      <c r="O74" s="56"/>
      <c r="P74" s="33"/>
      <c r="Q74" s="25"/>
      <c r="R74" s="25"/>
      <c r="S74" s="28"/>
      <c r="T74" s="28"/>
      <c r="U74" s="46"/>
      <c r="V74" s="46"/>
      <c r="W74" s="46"/>
      <c r="X74" s="46">
        <f>SUM(Tabela1[[#This Row],[Previsto Contrato (R$MM)]:[Medido (R$MM)]])</f>
        <v>0</v>
      </c>
      <c r="Y74" s="31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</row>
    <row r="75" spans="1:47">
      <c r="A75" s="34" t="s">
        <v>627</v>
      </c>
      <c r="B75" s="34" t="s">
        <v>396</v>
      </c>
      <c r="C75" s="22"/>
      <c r="D75" s="22"/>
      <c r="E75" s="45"/>
      <c r="F75" s="22"/>
      <c r="G75" s="22"/>
      <c r="H75" s="22"/>
      <c r="I75" s="45" t="s">
        <v>649</v>
      </c>
      <c r="J75" s="22"/>
      <c r="K75" s="22"/>
      <c r="L75" s="22"/>
      <c r="M75" s="22"/>
      <c r="N75" s="23"/>
      <c r="O75" s="56"/>
      <c r="P75" s="33"/>
      <c r="Q75" s="25"/>
      <c r="R75" s="25"/>
      <c r="S75" s="28"/>
      <c r="T75" s="28"/>
      <c r="U75" s="46"/>
      <c r="V75" s="46"/>
      <c r="W75" s="46"/>
      <c r="X75" s="46">
        <f>SUM(Tabela1[[#This Row],[Previsto Contrato (R$MM)]:[Medido (R$MM)]])</f>
        <v>0</v>
      </c>
      <c r="Y75" s="31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</row>
    <row r="76" spans="1:47">
      <c r="A76" s="34" t="s">
        <v>628</v>
      </c>
      <c r="B76" s="34" t="s">
        <v>396</v>
      </c>
      <c r="C76" s="22"/>
      <c r="D76" s="22"/>
      <c r="E76" s="45"/>
      <c r="F76" s="22"/>
      <c r="G76" s="22"/>
      <c r="H76" s="22"/>
      <c r="I76" s="45" t="s">
        <v>650</v>
      </c>
      <c r="J76" s="22"/>
      <c r="K76" s="22"/>
      <c r="L76" s="22"/>
      <c r="M76" s="22"/>
      <c r="N76" s="23"/>
      <c r="O76" s="56"/>
      <c r="P76" s="33"/>
      <c r="Q76" s="25"/>
      <c r="R76" s="25"/>
      <c r="S76" s="28"/>
      <c r="T76" s="28"/>
      <c r="U76" s="46"/>
      <c r="V76" s="46"/>
      <c r="W76" s="46"/>
      <c r="X76" s="46">
        <f>SUM(Tabela1[[#This Row],[Previsto Contrato (R$MM)]:[Medido (R$MM)]])</f>
        <v>0</v>
      </c>
      <c r="Y76" s="31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</row>
    <row r="77" spans="1:47">
      <c r="A77" s="34" t="s">
        <v>629</v>
      </c>
      <c r="B77" s="34" t="s">
        <v>396</v>
      </c>
      <c r="C77" s="22"/>
      <c r="D77" s="22"/>
      <c r="E77" s="45"/>
      <c r="F77" s="22"/>
      <c r="G77" s="22"/>
      <c r="H77" s="22"/>
      <c r="I77" s="45" t="s">
        <v>651</v>
      </c>
      <c r="J77" s="22"/>
      <c r="K77" s="22"/>
      <c r="L77" s="22"/>
      <c r="M77" s="22"/>
      <c r="N77" s="23"/>
      <c r="O77" s="56"/>
      <c r="P77" s="33"/>
      <c r="Q77" s="25"/>
      <c r="R77" s="25"/>
      <c r="S77" s="28"/>
      <c r="T77" s="28"/>
      <c r="U77" s="46"/>
      <c r="V77" s="46"/>
      <c r="W77" s="46"/>
      <c r="X77" s="46">
        <f>SUM(Tabela1[[#This Row],[Previsto Contrato (R$MM)]:[Medido (R$MM)]])</f>
        <v>0</v>
      </c>
      <c r="Y77" s="31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</row>
    <row r="78" spans="1:47">
      <c r="A78" s="34" t="s">
        <v>630</v>
      </c>
      <c r="B78" s="34" t="s">
        <v>396</v>
      </c>
      <c r="C78" s="22"/>
      <c r="D78" s="22"/>
      <c r="E78" s="45"/>
      <c r="F78" s="22"/>
      <c r="G78" s="22"/>
      <c r="H78" s="22"/>
      <c r="I78" s="45" t="s">
        <v>652</v>
      </c>
      <c r="J78" s="22"/>
      <c r="K78" s="22"/>
      <c r="L78" s="22"/>
      <c r="M78" s="22"/>
      <c r="N78" s="23"/>
      <c r="O78" s="56"/>
      <c r="P78" s="33"/>
      <c r="Q78" s="25"/>
      <c r="R78" s="25"/>
      <c r="S78" s="28"/>
      <c r="T78" s="28"/>
      <c r="U78" s="46"/>
      <c r="V78" s="46"/>
      <c r="W78" s="46"/>
      <c r="X78" s="46">
        <f>SUM(Tabela1[[#This Row],[Previsto Contrato (R$MM)]:[Medido (R$MM)]])</f>
        <v>0</v>
      </c>
      <c r="Y78" s="31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</row>
    <row r="79" spans="1:47">
      <c r="A79" s="34" t="s">
        <v>631</v>
      </c>
      <c r="B79" s="34" t="s">
        <v>396</v>
      </c>
      <c r="C79" s="22"/>
      <c r="D79" s="22"/>
      <c r="E79" s="45"/>
      <c r="F79" s="22"/>
      <c r="G79" s="22"/>
      <c r="H79" s="22"/>
      <c r="I79" s="45" t="s">
        <v>653</v>
      </c>
      <c r="J79" s="22"/>
      <c r="K79" s="22"/>
      <c r="L79" s="22"/>
      <c r="M79" s="22"/>
      <c r="N79" s="23"/>
      <c r="O79" s="56"/>
      <c r="P79" s="33"/>
      <c r="Q79" s="25"/>
      <c r="R79" s="25"/>
      <c r="S79" s="28"/>
      <c r="T79" s="28"/>
      <c r="U79" s="46"/>
      <c r="V79" s="46"/>
      <c r="W79" s="46"/>
      <c r="X79" s="46">
        <f>SUM(Tabela1[[#This Row],[Previsto Contrato (R$MM)]:[Medido (R$MM)]])</f>
        <v>0</v>
      </c>
      <c r="Y79" s="31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</row>
    <row r="80" spans="1:47">
      <c r="A80" s="34" t="s">
        <v>632</v>
      </c>
      <c r="B80" s="34" t="s">
        <v>396</v>
      </c>
      <c r="C80" s="22"/>
      <c r="D80" s="22"/>
      <c r="E80" s="45"/>
      <c r="F80" s="22"/>
      <c r="G80" s="22"/>
      <c r="H80" s="22"/>
      <c r="I80" s="45" t="s">
        <v>654</v>
      </c>
      <c r="J80" s="22"/>
      <c r="K80" s="22"/>
      <c r="L80" s="22"/>
      <c r="M80" s="22"/>
      <c r="N80" s="23"/>
      <c r="O80" s="56"/>
      <c r="P80" s="33"/>
      <c r="Q80" s="25"/>
      <c r="R80" s="25"/>
      <c r="S80" s="28"/>
      <c r="T80" s="28"/>
      <c r="U80" s="46"/>
      <c r="V80" s="46"/>
      <c r="W80" s="46"/>
      <c r="X80" s="46">
        <f>SUM(Tabela1[[#This Row],[Previsto Contrato (R$MM)]:[Medido (R$MM)]])</f>
        <v>0</v>
      </c>
      <c r="Y80" s="31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</row>
    <row r="81" spans="1:47">
      <c r="A81" s="34" t="s">
        <v>633</v>
      </c>
      <c r="B81" s="34" t="s">
        <v>396</v>
      </c>
      <c r="C81" s="22"/>
      <c r="D81" s="22"/>
      <c r="E81" s="45"/>
      <c r="F81" s="22"/>
      <c r="G81" s="22"/>
      <c r="H81" s="22"/>
      <c r="I81" s="45" t="s">
        <v>655</v>
      </c>
      <c r="J81" s="22"/>
      <c r="K81" s="22"/>
      <c r="L81" s="22"/>
      <c r="M81" s="22"/>
      <c r="N81" s="23"/>
      <c r="O81" s="56"/>
      <c r="P81" s="33"/>
      <c r="Q81" s="25"/>
      <c r="R81" s="25"/>
      <c r="S81" s="28"/>
      <c r="T81" s="28"/>
      <c r="U81" s="46"/>
      <c r="V81" s="46"/>
      <c r="W81" s="46"/>
      <c r="X81" s="46">
        <f>SUM(Tabela1[[#This Row],[Previsto Contrato (R$MM)]:[Medido (R$MM)]])</f>
        <v>0</v>
      </c>
      <c r="Y81" s="31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</row>
    <row r="82" spans="1:47">
      <c r="A82" s="34" t="s">
        <v>634</v>
      </c>
      <c r="B82" s="34" t="s">
        <v>396</v>
      </c>
      <c r="C82" s="22"/>
      <c r="D82" s="22"/>
      <c r="E82" s="45"/>
      <c r="F82" s="22"/>
      <c r="G82" s="22"/>
      <c r="H82" s="22"/>
      <c r="I82" s="45" t="s">
        <v>656</v>
      </c>
      <c r="J82" s="22"/>
      <c r="K82" s="22"/>
      <c r="L82" s="22"/>
      <c r="M82" s="22"/>
      <c r="N82" s="23"/>
      <c r="O82" s="56"/>
      <c r="P82" s="33"/>
      <c r="Q82" s="25"/>
      <c r="R82" s="25"/>
      <c r="S82" s="28"/>
      <c r="T82" s="28"/>
      <c r="U82" s="46"/>
      <c r="V82" s="46"/>
      <c r="W82" s="46"/>
      <c r="X82" s="46">
        <f>SUM(Tabela1[[#This Row],[Previsto Contrato (R$MM)]:[Medido (R$MM)]])</f>
        <v>0</v>
      </c>
      <c r="Y82" s="31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</row>
    <row r="83" spans="1:47">
      <c r="A83" s="34" t="s">
        <v>635</v>
      </c>
      <c r="B83" s="34" t="s">
        <v>396</v>
      </c>
      <c r="C83" s="22"/>
      <c r="D83" s="22"/>
      <c r="E83" s="45"/>
      <c r="F83" s="22"/>
      <c r="G83" s="22"/>
      <c r="H83" s="22"/>
      <c r="I83" s="45" t="s">
        <v>657</v>
      </c>
      <c r="J83" s="22"/>
      <c r="K83" s="22"/>
      <c r="L83" s="22"/>
      <c r="M83" s="22"/>
      <c r="N83" s="23"/>
      <c r="O83" s="56"/>
      <c r="P83" s="33"/>
      <c r="Q83" s="25"/>
      <c r="R83" s="25"/>
      <c r="S83" s="28"/>
      <c r="T83" s="28"/>
      <c r="U83" s="46"/>
      <c r="V83" s="46"/>
      <c r="W83" s="46"/>
      <c r="X83" s="46">
        <f>SUM(Tabela1[[#This Row],[Previsto Contrato (R$MM)]:[Medido (R$MM)]])</f>
        <v>0</v>
      </c>
      <c r="Y83" s="31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</row>
    <row r="84" spans="1:47">
      <c r="A84" s="34" t="s">
        <v>668</v>
      </c>
      <c r="B84" s="34" t="s">
        <v>290</v>
      </c>
      <c r="C84" s="22" t="s">
        <v>670</v>
      </c>
      <c r="D84" s="22"/>
      <c r="E84" s="45"/>
      <c r="F84" s="22"/>
      <c r="G84" s="22" t="s">
        <v>23</v>
      </c>
      <c r="H84" s="22" t="s">
        <v>706</v>
      </c>
      <c r="I84" s="45" t="s">
        <v>682</v>
      </c>
      <c r="J84" t="s">
        <v>673</v>
      </c>
      <c r="K84" s="22">
        <v>0</v>
      </c>
      <c r="L84" s="22"/>
      <c r="M84" s="84">
        <v>46905</v>
      </c>
      <c r="N84" s="23">
        <v>0</v>
      </c>
      <c r="O84" s="72" t="s">
        <v>5</v>
      </c>
      <c r="P84" s="33"/>
      <c r="Q84" s="25"/>
      <c r="R84" s="25"/>
      <c r="S84" s="25"/>
      <c r="T84" s="25"/>
      <c r="U84" s="26"/>
      <c r="V84" s="26"/>
      <c r="W84" s="26"/>
      <c r="X84" s="26">
        <f>SUM(Tabela1[[#This Row],[Previsto Contrato (R$MM)]:[Medido (R$MM)]])</f>
        <v>0</v>
      </c>
      <c r="Y84" s="31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</row>
    <row r="85" spans="1:47">
      <c r="A85" s="34" t="s">
        <v>699</v>
      </c>
      <c r="B85" s="34" t="s">
        <v>283</v>
      </c>
      <c r="C85" s="22" t="s">
        <v>670</v>
      </c>
      <c r="D85" s="22"/>
      <c r="E85" s="45" t="s">
        <v>671</v>
      </c>
      <c r="F85" s="22" t="s">
        <v>462</v>
      </c>
      <c r="G85" s="22" t="s">
        <v>20</v>
      </c>
      <c r="H85" s="22" t="s">
        <v>706</v>
      </c>
      <c r="I85" s="45" t="s">
        <v>672</v>
      </c>
      <c r="J85" s="85" t="s">
        <v>674</v>
      </c>
      <c r="K85" s="22">
        <v>0</v>
      </c>
      <c r="L85" s="22"/>
      <c r="M85" s="22"/>
      <c r="N85" s="23">
        <v>0</v>
      </c>
      <c r="O85" s="86" t="s">
        <v>5</v>
      </c>
      <c r="P85" s="33">
        <v>210</v>
      </c>
      <c r="Q85" s="25">
        <v>46055</v>
      </c>
      <c r="R85" s="25">
        <v>46063</v>
      </c>
      <c r="S85" s="88">
        <v>46265</v>
      </c>
      <c r="T85" s="88">
        <v>46265</v>
      </c>
      <c r="U85" s="46">
        <v>2.9</v>
      </c>
      <c r="V85" s="46"/>
      <c r="W85" s="46"/>
      <c r="X85" s="46">
        <f>SUM(Tabela1[[#This Row],[Previsto Contrato (R$MM)]:[Medido (R$MM)]])</f>
        <v>2.9</v>
      </c>
      <c r="Y85" s="31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</row>
    <row r="86" spans="1:47">
      <c r="A86" s="34" t="s">
        <v>700</v>
      </c>
      <c r="B86" s="34" t="s">
        <v>283</v>
      </c>
      <c r="C86" s="22" t="s">
        <v>670</v>
      </c>
      <c r="D86" s="22"/>
      <c r="E86" s="45"/>
      <c r="F86" s="22" t="s">
        <v>461</v>
      </c>
      <c r="G86" s="22" t="s">
        <v>598</v>
      </c>
      <c r="H86" s="22" t="s">
        <v>706</v>
      </c>
      <c r="I86" s="45" t="s">
        <v>701</v>
      </c>
      <c r="J86" s="22"/>
      <c r="K86" s="22"/>
      <c r="L86" s="22"/>
      <c r="M86" s="22"/>
      <c r="N86" s="23">
        <v>0.1</v>
      </c>
      <c r="O86" s="86" t="s">
        <v>5</v>
      </c>
      <c r="P86" s="33">
        <v>30</v>
      </c>
      <c r="Q86" s="25">
        <v>46057</v>
      </c>
      <c r="R86" s="25">
        <v>46057</v>
      </c>
      <c r="S86" s="94">
        <v>46085</v>
      </c>
      <c r="T86" s="94">
        <v>46085</v>
      </c>
      <c r="U86" s="46"/>
      <c r="V86" s="46"/>
      <c r="W86" s="46"/>
      <c r="X86" s="46">
        <f>SUM(Tabela1[[#This Row],[Previsto Contrato (R$MM)]:[Medido (R$MM)]])</f>
        <v>0</v>
      </c>
      <c r="Y86" s="31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</row>
    <row r="87" spans="1:47">
      <c r="I87" s="22"/>
    </row>
    <row r="88" spans="1:47">
      <c r="I88" s="22"/>
    </row>
    <row r="89" spans="1:47">
      <c r="I89" s="22"/>
      <c r="S89" s="87"/>
    </row>
    <row r="90" spans="1:47">
      <c r="I90" s="22"/>
    </row>
    <row r="91" spans="1:47">
      <c r="I91" s="22"/>
    </row>
    <row r="92" spans="1:47">
      <c r="I92" s="22"/>
    </row>
    <row r="93" spans="1:47">
      <c r="I93" s="22"/>
    </row>
    <row r="94" spans="1:47">
      <c r="I94" s="22"/>
    </row>
    <row r="95" spans="1:47">
      <c r="I95" s="22"/>
    </row>
    <row r="96" spans="1:47">
      <c r="I96" s="22"/>
    </row>
    <row r="97" spans="9:9">
      <c r="I97" s="22"/>
    </row>
    <row r="98" spans="9:9">
      <c r="I98" s="22"/>
    </row>
    <row r="99" spans="9:9">
      <c r="I99" s="22"/>
    </row>
    <row r="100" spans="9:9">
      <c r="I100" s="22"/>
    </row>
    <row r="101" spans="9:9">
      <c r="I101" s="22"/>
    </row>
    <row r="102" spans="9:9">
      <c r="I102" s="22"/>
    </row>
    <row r="103" spans="9:9">
      <c r="I103" s="22"/>
    </row>
    <row r="104" spans="9:9">
      <c r="I104" s="22"/>
    </row>
    <row r="105" spans="9:9">
      <c r="I105" s="22"/>
    </row>
    <row r="106" spans="9:9">
      <c r="I106" s="22"/>
    </row>
    <row r="107" spans="9:9">
      <c r="I107" s="22"/>
    </row>
    <row r="108" spans="9:9">
      <c r="I108" s="22"/>
    </row>
    <row r="109" spans="9:9">
      <c r="I109" s="22"/>
    </row>
    <row r="110" spans="9:9">
      <c r="I110" s="22"/>
    </row>
    <row r="111" spans="9:9">
      <c r="I111" s="22"/>
    </row>
    <row r="112" spans="9:9">
      <c r="I112" s="22"/>
    </row>
    <row r="113" spans="9:9">
      <c r="I113" s="22"/>
    </row>
    <row r="114" spans="9:9">
      <c r="I114" s="22"/>
    </row>
    <row r="115" spans="9:9">
      <c r="I115" s="22"/>
    </row>
    <row r="116" spans="9:9">
      <c r="I116" s="22"/>
    </row>
    <row r="117" spans="9:9">
      <c r="I117" s="22"/>
    </row>
    <row r="118" spans="9:9">
      <c r="I118" s="22"/>
    </row>
    <row r="119" spans="9:9">
      <c r="I119" s="22"/>
    </row>
    <row r="120" spans="9:9">
      <c r="I120" s="22"/>
    </row>
    <row r="121" spans="9:9">
      <c r="I121" s="22"/>
    </row>
    <row r="122" spans="9:9">
      <c r="I122" s="22"/>
    </row>
    <row r="123" spans="9:9">
      <c r="I123" s="22"/>
    </row>
    <row r="124" spans="9:9">
      <c r="I124" s="22"/>
    </row>
    <row r="125" spans="9:9">
      <c r="I125" s="22"/>
    </row>
    <row r="126" spans="9:9">
      <c r="I126" s="22"/>
    </row>
    <row r="127" spans="9:9">
      <c r="I127" s="22"/>
    </row>
    <row r="128" spans="9:9">
      <c r="I128" s="22"/>
    </row>
    <row r="129" spans="9:9">
      <c r="I129" s="22"/>
    </row>
    <row r="130" spans="9:9">
      <c r="I130" s="22"/>
    </row>
    <row r="131" spans="9:9">
      <c r="I131" s="22"/>
    </row>
    <row r="132" spans="9:9">
      <c r="I132" s="22"/>
    </row>
    <row r="133" spans="9:9">
      <c r="I133" s="22"/>
    </row>
    <row r="134" spans="9:9">
      <c r="I134" s="22"/>
    </row>
    <row r="135" spans="9:9">
      <c r="I135" s="22"/>
    </row>
    <row r="136" spans="9:9">
      <c r="I136" s="22"/>
    </row>
    <row r="137" spans="9:9">
      <c r="I137" s="22"/>
    </row>
    <row r="138" spans="9:9">
      <c r="I138" s="22"/>
    </row>
    <row r="139" spans="9:9">
      <c r="I139" s="22"/>
    </row>
    <row r="140" spans="9:9">
      <c r="I140" s="22"/>
    </row>
    <row r="141" spans="9:9">
      <c r="I141" s="22"/>
    </row>
    <row r="142" spans="9:9">
      <c r="I142" s="22"/>
    </row>
    <row r="143" spans="9:9">
      <c r="I143" s="22"/>
    </row>
    <row r="144" spans="9:9">
      <c r="I144" s="22"/>
    </row>
    <row r="145" spans="9:9">
      <c r="I145" s="22"/>
    </row>
    <row r="146" spans="9:9">
      <c r="I146" s="22"/>
    </row>
    <row r="147" spans="9:9">
      <c r="I147" s="22"/>
    </row>
    <row r="148" spans="9:9">
      <c r="I148" s="22"/>
    </row>
    <row r="149" spans="9:9">
      <c r="I149" s="22"/>
    </row>
    <row r="150" spans="9:9">
      <c r="I150" s="22"/>
    </row>
    <row r="151" spans="9:9">
      <c r="I151" s="22"/>
    </row>
    <row r="152" spans="9:9">
      <c r="I152" s="22"/>
    </row>
    <row r="153" spans="9:9">
      <c r="I153" s="22"/>
    </row>
    <row r="154" spans="9:9">
      <c r="I154" s="22"/>
    </row>
    <row r="155" spans="9:9">
      <c r="I155" s="22"/>
    </row>
    <row r="156" spans="9:9">
      <c r="I156" s="22"/>
    </row>
    <row r="157" spans="9:9">
      <c r="I157" s="22"/>
    </row>
    <row r="158" spans="9:9">
      <c r="I158" s="22"/>
    </row>
    <row r="159" spans="9:9">
      <c r="I159" s="22"/>
    </row>
    <row r="160" spans="9:9">
      <c r="I160" s="22"/>
    </row>
    <row r="161" spans="9:9">
      <c r="I161" s="22"/>
    </row>
    <row r="162" spans="9:9">
      <c r="I162" s="22"/>
    </row>
    <row r="163" spans="9:9">
      <c r="I163" s="22"/>
    </row>
    <row r="164" spans="9:9">
      <c r="I164" s="22"/>
    </row>
    <row r="165" spans="9:9">
      <c r="I165" s="22"/>
    </row>
    <row r="166" spans="9:9">
      <c r="I166" s="22"/>
    </row>
    <row r="167" spans="9:9">
      <c r="I167" s="22"/>
    </row>
    <row r="168" spans="9:9">
      <c r="I168" s="22"/>
    </row>
    <row r="169" spans="9:9">
      <c r="I169" s="22"/>
    </row>
    <row r="170" spans="9:9">
      <c r="I170" s="22"/>
    </row>
    <row r="171" spans="9:9">
      <c r="I171" s="22"/>
    </row>
    <row r="172" spans="9:9">
      <c r="I172" s="22"/>
    </row>
    <row r="173" spans="9:9">
      <c r="I173" s="22"/>
    </row>
    <row r="174" spans="9:9">
      <c r="I174" s="22"/>
    </row>
    <row r="175" spans="9:9">
      <c r="I175" s="22"/>
    </row>
    <row r="176" spans="9:9">
      <c r="I176" s="22"/>
    </row>
    <row r="177" spans="9:9">
      <c r="I177" s="22"/>
    </row>
    <row r="178" spans="9:9">
      <c r="I178" s="22"/>
    </row>
    <row r="179" spans="9:9">
      <c r="I179" s="22"/>
    </row>
    <row r="180" spans="9:9">
      <c r="I180" s="22"/>
    </row>
    <row r="181" spans="9:9">
      <c r="I181" s="22"/>
    </row>
  </sheetData>
  <phoneticPr fontId="5" type="noConversion"/>
  <conditionalFormatting sqref="N2:N86">
    <cfRule type="dataBar" priority="1">
      <dataBar>
        <cfvo type="num" val="0"/>
        <cfvo type="num" val="1"/>
        <color theme="3" tint="0.499984740745262"/>
      </dataBar>
      <extLst>
        <ext xmlns:x14="http://schemas.microsoft.com/office/spreadsheetml/2009/9/main" uri="{B025F937-C7B1-47D3-B67F-A62EFF666E3E}">
          <x14:id>{13A75ED7-FD6C-41C7-B7A0-68D227E69B2F}</x14:id>
        </ext>
      </extLst>
    </cfRule>
    <cfRule type="dataBar" priority="46">
      <dataBar>
        <cfvo type="min"/>
        <cfvo type="max"/>
        <color theme="3" tint="0.499984740745262"/>
      </dataBar>
      <extLst>
        <ext xmlns:x14="http://schemas.microsoft.com/office/spreadsheetml/2009/9/main" uri="{B025F937-C7B1-47D3-B67F-A62EFF666E3E}">
          <x14:id>{F671F8BF-A4EA-44AF-8912-F063A7253AB6}</x14:id>
        </ext>
      </extLst>
    </cfRule>
  </conditionalFormatting>
  <conditionalFormatting sqref="O37 O38:P62 O53:R54 O61:R61">
    <cfRule type="containsText" dxfId="25" priority="31" operator="containsText" text="Não Iniciado">
      <formula>NOT(ISERROR(SEARCH("Não Iniciado",O37)))</formula>
    </cfRule>
    <cfRule type="containsText" dxfId="24" priority="33" operator="containsText" text="Paralisado">
      <formula>NOT(ISERROR(SEARCH("Paralisado",O37)))</formula>
    </cfRule>
    <cfRule type="containsText" dxfId="23" priority="34" operator="containsText" text="Cancelado">
      <formula>NOT(ISERROR(SEARCH("Cancelado",O37)))</formula>
    </cfRule>
    <cfRule type="containsText" dxfId="22" priority="35" operator="containsText" text="Concluído">
      <formula>NOT(ISERROR(SEARCH("Concluído",O37)))</formula>
    </cfRule>
    <cfRule type="containsText" dxfId="21" priority="39" operator="containsText" text="Em Risco">
      <formula>NOT(ISERROR(SEARCH("Em Risco",O37)))</formula>
    </cfRule>
    <cfRule type="containsText" dxfId="20" priority="40" operator="containsText" text="Atrasado">
      <formula>NOT(ISERROR(SEARCH("Atrasado",O37)))</formula>
    </cfRule>
    <cfRule type="containsText" dxfId="19" priority="41" operator="containsText" text="Em Linha">
      <formula>NOT(ISERROR(SEARCH("Em Linha",O37)))</formula>
    </cfRule>
  </conditionalFormatting>
  <conditionalFormatting sqref="O84:O86">
    <cfRule type="containsText" dxfId="18" priority="2" operator="containsText" text="Não Iniciado">
      <formula>NOT(ISERROR(SEARCH("Não Iniciado",O84)))</formula>
    </cfRule>
    <cfRule type="containsText" dxfId="17" priority="3" operator="containsText" text="Paralisado">
      <formula>NOT(ISERROR(SEARCH("Paralisado",O84)))</formula>
    </cfRule>
    <cfRule type="containsText" dxfId="16" priority="4" operator="containsText" text="Cancelado">
      <formula>NOT(ISERROR(SEARCH("Cancelado",O84)))</formula>
    </cfRule>
    <cfRule type="containsText" dxfId="15" priority="5" operator="containsText" text="Concluído">
      <formula>NOT(ISERROR(SEARCH("Concluído",O84)))</formula>
    </cfRule>
    <cfRule type="containsText" dxfId="14" priority="6" operator="containsText" text="Em Risco">
      <formula>NOT(ISERROR(SEARCH("Em Risco",O84)))</formula>
    </cfRule>
    <cfRule type="containsText" dxfId="13" priority="7" operator="containsText" text="Atrasado">
      <formula>NOT(ISERROR(SEARCH("Atrasado",O84)))</formula>
    </cfRule>
    <cfRule type="containsText" dxfId="12" priority="8" operator="containsText" text="Em Linha">
      <formula>NOT(ISERROR(SEARCH("Em Linha",O84)))</formula>
    </cfRule>
  </conditionalFormatting>
  <conditionalFormatting sqref="O2:P36">
    <cfRule type="containsText" dxfId="11" priority="16" operator="containsText" text="Não Iniciado">
      <formula>NOT(ISERROR(SEARCH("Não Iniciado",O2)))</formula>
    </cfRule>
    <cfRule type="containsText" dxfId="10" priority="17" operator="containsText" text="Paralisado">
      <formula>NOT(ISERROR(SEARCH("Paralisado",O2)))</formula>
    </cfRule>
    <cfRule type="containsText" dxfId="9" priority="18" operator="containsText" text="Cancelado">
      <formula>NOT(ISERROR(SEARCH("Cancelado",O2)))</formula>
    </cfRule>
    <cfRule type="containsText" dxfId="8" priority="19" operator="containsText" text="Concluído">
      <formula>NOT(ISERROR(SEARCH("Concluído",O2)))</formula>
    </cfRule>
    <cfRule type="containsText" dxfId="7" priority="20" operator="containsText" text="Em Risco">
      <formula>NOT(ISERROR(SEARCH("Em Risco",O2)))</formula>
    </cfRule>
    <cfRule type="containsText" dxfId="6" priority="21" operator="containsText" text="Atrasado">
      <formula>NOT(ISERROR(SEARCH("Atrasado",O2)))</formula>
    </cfRule>
    <cfRule type="containsText" dxfId="5" priority="22" operator="containsText" text="Em Linha">
      <formula>NOT(ISERROR(SEARCH("Em Linha",O2)))</formula>
    </cfRule>
  </conditionalFormatting>
  <dataValidations count="6">
    <dataValidation type="list" allowBlank="1" showInputMessage="1" showErrorMessage="1" sqref="O61:R61 P53:R54 O53:O60" xr:uid="{E1F59240-A11C-472F-B035-6F44D7CBC6DD}">
      <formula1>"Em Linha,Atrasado,Em Risco,Concluído,Cancelado,Paralizado"</formula1>
    </dataValidation>
    <dataValidation type="list" allowBlank="1" showInputMessage="1" showErrorMessage="1" sqref="Z2 Z4:Z60" xr:uid="{03CDD255-E63B-4B43-86F1-4536B3B84F33}">
      <formula1>"SAA,SES,SAA &amp; SES, Outro"</formula1>
    </dataValidation>
    <dataValidation type="list" allowBlank="1" showInputMessage="1" showErrorMessage="1" sqref="O2:O60 O84:O86" xr:uid="{04E8BA05-161B-4C4D-A8F0-A9BCA7179044}">
      <formula1>"Em Linha,Atrasado,Em Risco,Concluído,Cancelado,Paralisado,Não Iniciado,ATO"</formula1>
    </dataValidation>
    <dataValidation type="list" allowBlank="1" showInputMessage="1" showErrorMessage="1" sqref="B2:B86" xr:uid="{C0E193BB-B643-47A4-94CB-5782F9D0DEC0}">
      <formula1>"Planejado,TR em Elaboração,Tomada de Preço,Equalização,Minuta de Contrato,Assinatura,Contratado,Demandas"</formula1>
    </dataValidation>
    <dataValidation type="list" allowBlank="1" showInputMessage="1" showErrorMessage="1" sqref="G2:G86 H2:H20 H38:H86" xr:uid="{22EF418A-8A1E-426C-B2B8-E0606DB97D8B}">
      <formula1>"Geral,Baixada 1,Baixada 2,Centro-Sul/Comunidades,Interior,Leste,Norte,Prolagos"</formula1>
    </dataValidation>
    <dataValidation type="list" allowBlank="1" showInputMessage="1" showErrorMessage="1" sqref="H21:H37" xr:uid="{1A009A99-7BB3-4A7A-8C55-366957496B67}">
      <formula1>"Sim,Não,N/A,E-mail enviado"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A75ED7-FD6C-41C7-B7A0-68D227E69B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671F8BF-A4EA-44AF-8912-F063A7253A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N2:N86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0560A-A73F-43BA-BF8D-20B176D291E0}">
  <dimension ref="A1:O149"/>
  <sheetViews>
    <sheetView zoomScale="145" zoomScaleNormal="145" workbookViewId="0">
      <pane xSplit="3" topLeftCell="G1" activePane="topRight" state="frozenSplit"/>
      <selection pane="topRight" activeCell="A55" sqref="A55"/>
    </sheetView>
  </sheetViews>
  <sheetFormatPr defaultColWidth="9.140625" defaultRowHeight="9.75" customHeight="1"/>
  <cols>
    <col min="1" max="1" width="15.140625" style="39" bestFit="1" customWidth="1"/>
    <col min="2" max="2" width="15.140625" style="39" customWidth="1"/>
    <col min="3" max="3" width="31.28515625" style="39" customWidth="1"/>
    <col min="4" max="4" width="13" style="39" bestFit="1" customWidth="1"/>
    <col min="5" max="5" width="13" style="39" customWidth="1"/>
    <col min="6" max="6" width="40.140625" style="39" customWidth="1"/>
    <col min="7" max="7" width="12.7109375" style="42" customWidth="1"/>
    <col min="8" max="8" width="12.42578125" style="39" customWidth="1"/>
    <col min="9" max="9" width="11.7109375" style="39" customWidth="1"/>
    <col min="10" max="11" width="10.28515625" style="39" customWidth="1"/>
    <col min="12" max="12" width="11.42578125" style="39" bestFit="1" customWidth="1"/>
    <col min="13" max="13" width="35" style="42" customWidth="1"/>
    <col min="14" max="16384" width="9.140625" style="39"/>
  </cols>
  <sheetData>
    <row r="1" spans="1:15" s="37" customFormat="1" ht="9.75" customHeight="1">
      <c r="A1" s="35" t="s">
        <v>502</v>
      </c>
      <c r="B1" s="35" t="s">
        <v>69</v>
      </c>
      <c r="C1" s="35" t="s">
        <v>0</v>
      </c>
      <c r="D1" s="36" t="s">
        <v>16</v>
      </c>
      <c r="E1" s="36" t="s">
        <v>313</v>
      </c>
      <c r="F1" s="36" t="s">
        <v>14</v>
      </c>
      <c r="G1" s="36" t="s">
        <v>10</v>
      </c>
      <c r="H1" s="36" t="s">
        <v>11</v>
      </c>
      <c r="I1" s="36" t="s">
        <v>12</v>
      </c>
      <c r="J1" s="36" t="s">
        <v>486</v>
      </c>
      <c r="K1" s="36" t="s">
        <v>572</v>
      </c>
      <c r="L1" s="36" t="s">
        <v>2</v>
      </c>
      <c r="M1" s="36" t="s">
        <v>13</v>
      </c>
      <c r="N1" s="81" t="s">
        <v>570</v>
      </c>
      <c r="O1" s="81" t="s">
        <v>571</v>
      </c>
    </row>
    <row r="2" spans="1:15" ht="11.25" hidden="1">
      <c r="A2" s="17" t="s">
        <v>503</v>
      </c>
      <c r="B2" s="17" t="s">
        <v>134</v>
      </c>
      <c r="C2" s="16" t="s">
        <v>173</v>
      </c>
      <c r="D2" s="19" t="s">
        <v>96</v>
      </c>
      <c r="E2" s="19" t="s">
        <v>0</v>
      </c>
      <c r="F2" s="16" t="s">
        <v>111</v>
      </c>
      <c r="G2" s="19" t="s">
        <v>112</v>
      </c>
      <c r="H2" s="15"/>
      <c r="I2" s="15"/>
      <c r="J2" s="15"/>
      <c r="K2" s="15"/>
      <c r="L2" s="38" t="s">
        <v>42</v>
      </c>
      <c r="M2" s="18"/>
      <c r="N2" s="80"/>
      <c r="O2" s="80"/>
    </row>
    <row r="3" spans="1:15" ht="11.25" hidden="1">
      <c r="A3" s="17" t="s">
        <v>504</v>
      </c>
      <c r="B3" s="17" t="s">
        <v>95</v>
      </c>
      <c r="C3" s="16" t="s">
        <v>171</v>
      </c>
      <c r="D3" s="19" t="s">
        <v>96</v>
      </c>
      <c r="E3" s="19" t="s">
        <v>0</v>
      </c>
      <c r="F3" s="16" t="s">
        <v>103</v>
      </c>
      <c r="G3" s="19" t="s">
        <v>102</v>
      </c>
      <c r="H3" s="27">
        <v>45971</v>
      </c>
      <c r="I3" s="27">
        <v>46006</v>
      </c>
      <c r="J3" s="27"/>
      <c r="K3" s="15"/>
      <c r="L3" s="38" t="s">
        <v>42</v>
      </c>
      <c r="M3" s="18" t="s">
        <v>385</v>
      </c>
      <c r="N3" s="80"/>
      <c r="O3" s="80"/>
    </row>
    <row r="4" spans="1:15" ht="22.5" hidden="1">
      <c r="A4" s="17" t="s">
        <v>504</v>
      </c>
      <c r="B4" s="17" t="s">
        <v>95</v>
      </c>
      <c r="C4" s="16" t="s">
        <v>171</v>
      </c>
      <c r="D4" s="19" t="s">
        <v>96</v>
      </c>
      <c r="E4" s="19" t="s">
        <v>0</v>
      </c>
      <c r="F4" s="16" t="s">
        <v>104</v>
      </c>
      <c r="G4" s="19" t="s">
        <v>102</v>
      </c>
      <c r="H4" s="27">
        <v>45971</v>
      </c>
      <c r="I4" s="27">
        <v>46006</v>
      </c>
      <c r="J4" s="27"/>
      <c r="K4" s="15"/>
      <c r="L4" s="38" t="s">
        <v>42</v>
      </c>
      <c r="M4" s="18" t="s">
        <v>386</v>
      </c>
      <c r="N4" s="80"/>
      <c r="O4" s="80"/>
    </row>
    <row r="5" spans="1:15" ht="11.25" hidden="1">
      <c r="A5" s="17" t="s">
        <v>504</v>
      </c>
      <c r="B5" s="17" t="s">
        <v>95</v>
      </c>
      <c r="C5" s="16" t="s">
        <v>171</v>
      </c>
      <c r="D5" s="19" t="s">
        <v>96</v>
      </c>
      <c r="E5" s="19" t="s">
        <v>0</v>
      </c>
      <c r="F5" s="16" t="s">
        <v>101</v>
      </c>
      <c r="G5" s="19" t="s">
        <v>102</v>
      </c>
      <c r="H5" s="27">
        <v>45971</v>
      </c>
      <c r="I5" s="27">
        <v>46006</v>
      </c>
      <c r="J5" s="27"/>
      <c r="K5" s="27"/>
      <c r="L5" s="38" t="s">
        <v>37</v>
      </c>
      <c r="M5" s="18"/>
      <c r="N5" s="80"/>
      <c r="O5" s="80"/>
    </row>
    <row r="6" spans="1:15" ht="11.25" hidden="1">
      <c r="A6" s="17" t="s">
        <v>505</v>
      </c>
      <c r="B6" s="17" t="s">
        <v>75</v>
      </c>
      <c r="C6" s="16" t="s">
        <v>174</v>
      </c>
      <c r="D6" s="19" t="s">
        <v>96</v>
      </c>
      <c r="E6" s="19" t="s">
        <v>0</v>
      </c>
      <c r="F6" s="16" t="s">
        <v>101</v>
      </c>
      <c r="G6" s="19" t="s">
        <v>67</v>
      </c>
      <c r="H6" s="27">
        <v>45971</v>
      </c>
      <c r="I6" s="27">
        <v>45989</v>
      </c>
      <c r="J6" s="27"/>
      <c r="K6" s="15"/>
      <c r="L6" s="38" t="s">
        <v>42</v>
      </c>
      <c r="M6" s="18"/>
      <c r="N6" s="80"/>
      <c r="O6" s="80"/>
    </row>
    <row r="7" spans="1:15" ht="11.25" hidden="1">
      <c r="A7" s="17" t="s">
        <v>505</v>
      </c>
      <c r="B7" s="17" t="s">
        <v>75</v>
      </c>
      <c r="C7" s="16" t="s">
        <v>174</v>
      </c>
      <c r="D7" s="19" t="s">
        <v>96</v>
      </c>
      <c r="E7" s="19" t="s">
        <v>0</v>
      </c>
      <c r="F7" s="16" t="s">
        <v>104</v>
      </c>
      <c r="G7" s="19" t="s">
        <v>67</v>
      </c>
      <c r="H7" s="27">
        <v>45971</v>
      </c>
      <c r="I7" s="27">
        <v>45989</v>
      </c>
      <c r="J7" s="27"/>
      <c r="K7" s="27"/>
      <c r="L7" s="38" t="s">
        <v>37</v>
      </c>
      <c r="M7" s="18"/>
      <c r="N7" s="80"/>
      <c r="O7" s="80"/>
    </row>
    <row r="8" spans="1:15" ht="22.5" hidden="1">
      <c r="A8" s="17" t="s">
        <v>506</v>
      </c>
      <c r="B8" s="17" t="s">
        <v>98</v>
      </c>
      <c r="C8" s="16" t="s">
        <v>172</v>
      </c>
      <c r="D8" s="19" t="s">
        <v>96</v>
      </c>
      <c r="E8" s="19" t="s">
        <v>0</v>
      </c>
      <c r="F8" s="16" t="s">
        <v>105</v>
      </c>
      <c r="G8" s="19" t="s">
        <v>106</v>
      </c>
      <c r="H8" s="27">
        <v>45978</v>
      </c>
      <c r="I8" s="27">
        <v>45982</v>
      </c>
      <c r="J8" s="27"/>
      <c r="K8" s="15"/>
      <c r="L8" s="38" t="s">
        <v>42</v>
      </c>
      <c r="M8" s="18" t="s">
        <v>387</v>
      </c>
      <c r="N8" s="80"/>
      <c r="O8" s="80"/>
    </row>
    <row r="9" spans="1:15" ht="22.5" hidden="1">
      <c r="A9" s="17" t="s">
        <v>506</v>
      </c>
      <c r="B9" s="17" t="s">
        <v>98</v>
      </c>
      <c r="C9" s="16" t="s">
        <v>172</v>
      </c>
      <c r="D9" s="19" t="s">
        <v>96</v>
      </c>
      <c r="E9" s="19" t="s">
        <v>0</v>
      </c>
      <c r="F9" s="16" t="s">
        <v>107</v>
      </c>
      <c r="G9" s="19" t="s">
        <v>108</v>
      </c>
      <c r="H9" s="27">
        <v>45910</v>
      </c>
      <c r="I9" s="27">
        <v>45989</v>
      </c>
      <c r="J9" s="27"/>
      <c r="K9" s="15"/>
      <c r="L9" s="38" t="s">
        <v>42</v>
      </c>
      <c r="M9" s="18" t="s">
        <v>109</v>
      </c>
      <c r="N9" s="80"/>
      <c r="O9" s="80"/>
    </row>
    <row r="10" spans="1:15" ht="11.25" hidden="1">
      <c r="A10" s="17" t="s">
        <v>506</v>
      </c>
      <c r="B10" s="17" t="s">
        <v>98</v>
      </c>
      <c r="C10" s="16" t="s">
        <v>172</v>
      </c>
      <c r="D10" s="19" t="s">
        <v>96</v>
      </c>
      <c r="E10" s="19" t="s">
        <v>0</v>
      </c>
      <c r="F10" s="16" t="s">
        <v>320</v>
      </c>
      <c r="G10" s="19" t="s">
        <v>108</v>
      </c>
      <c r="H10" s="27">
        <v>45971</v>
      </c>
      <c r="I10" s="27">
        <v>46001</v>
      </c>
      <c r="J10" s="27"/>
      <c r="K10" s="27"/>
      <c r="L10" s="40" t="s">
        <v>37</v>
      </c>
      <c r="M10" s="18"/>
      <c r="N10" s="80"/>
      <c r="O10" s="80"/>
    </row>
    <row r="11" spans="1:15" ht="22.5" hidden="1">
      <c r="A11" s="17" t="s">
        <v>506</v>
      </c>
      <c r="B11" s="17" t="s">
        <v>98</v>
      </c>
      <c r="C11" s="16" t="s">
        <v>172</v>
      </c>
      <c r="D11" s="19" t="s">
        <v>96</v>
      </c>
      <c r="E11" s="19" t="s">
        <v>319</v>
      </c>
      <c r="F11" s="16" t="s">
        <v>110</v>
      </c>
      <c r="G11" s="19" t="s">
        <v>96</v>
      </c>
      <c r="H11" s="27">
        <v>45971</v>
      </c>
      <c r="I11" s="27">
        <v>45975</v>
      </c>
      <c r="J11" s="27"/>
      <c r="K11" s="27"/>
      <c r="L11" s="38" t="s">
        <v>37</v>
      </c>
      <c r="M11" s="18"/>
      <c r="N11" s="80"/>
      <c r="O11" s="80"/>
    </row>
    <row r="12" spans="1:15" ht="13.5" hidden="1" customHeight="1">
      <c r="A12" s="17" t="s">
        <v>514</v>
      </c>
      <c r="B12" s="17" t="s">
        <v>142</v>
      </c>
      <c r="C12" s="16" t="s">
        <v>327</v>
      </c>
      <c r="D12" s="19" t="s">
        <v>124</v>
      </c>
      <c r="E12" s="19" t="s">
        <v>0</v>
      </c>
      <c r="F12" s="16" t="s">
        <v>328</v>
      </c>
      <c r="G12" s="41" t="s">
        <v>329</v>
      </c>
      <c r="H12" s="27">
        <v>45930</v>
      </c>
      <c r="I12" s="15" t="s">
        <v>330</v>
      </c>
      <c r="J12" s="15"/>
      <c r="K12" s="15"/>
      <c r="L12" s="40" t="s">
        <v>37</v>
      </c>
      <c r="M12" s="32" t="s">
        <v>39</v>
      </c>
      <c r="N12" s="80"/>
      <c r="O12" s="80"/>
    </row>
    <row r="13" spans="1:15" ht="33.75" hidden="1">
      <c r="A13" s="17" t="s">
        <v>514</v>
      </c>
      <c r="B13" s="17" t="s">
        <v>142</v>
      </c>
      <c r="C13" s="16" t="s">
        <v>327</v>
      </c>
      <c r="D13" s="19" t="s">
        <v>124</v>
      </c>
      <c r="E13" s="19" t="s">
        <v>0</v>
      </c>
      <c r="F13" s="16" t="s">
        <v>331</v>
      </c>
      <c r="G13" s="41" t="s">
        <v>332</v>
      </c>
      <c r="H13" s="27">
        <v>45972</v>
      </c>
      <c r="I13" s="15" t="s">
        <v>333</v>
      </c>
      <c r="J13" s="15"/>
      <c r="K13" s="15"/>
      <c r="L13" s="40" t="s">
        <v>7</v>
      </c>
      <c r="M13" s="32" t="s">
        <v>39</v>
      </c>
      <c r="N13" s="80"/>
      <c r="O13" s="80"/>
    </row>
    <row r="14" spans="1:15" ht="33.75" hidden="1">
      <c r="A14" s="17" t="s">
        <v>515</v>
      </c>
      <c r="B14" s="17" t="s">
        <v>139</v>
      </c>
      <c r="C14" s="16" t="s">
        <v>202</v>
      </c>
      <c r="D14" s="19" t="s">
        <v>124</v>
      </c>
      <c r="E14" s="19" t="s">
        <v>0</v>
      </c>
      <c r="F14" s="16" t="s">
        <v>198</v>
      </c>
      <c r="G14" s="19" t="s">
        <v>203</v>
      </c>
      <c r="H14" s="27">
        <v>45959</v>
      </c>
      <c r="I14" s="27">
        <v>45974</v>
      </c>
      <c r="J14" s="27"/>
      <c r="K14" s="27"/>
      <c r="L14" s="38" t="s">
        <v>37</v>
      </c>
      <c r="M14" s="32" t="s">
        <v>204</v>
      </c>
      <c r="N14" s="80"/>
      <c r="O14" s="80"/>
    </row>
    <row r="15" spans="1:15" ht="11.25" hidden="1">
      <c r="A15" s="17" t="s">
        <v>515</v>
      </c>
      <c r="B15" s="17" t="s">
        <v>139</v>
      </c>
      <c r="C15" s="16" t="s">
        <v>202</v>
      </c>
      <c r="D15" s="19" t="s">
        <v>124</v>
      </c>
      <c r="E15" s="19" t="s">
        <v>0</v>
      </c>
      <c r="F15" s="16" t="s">
        <v>199</v>
      </c>
      <c r="G15" s="19" t="s">
        <v>203</v>
      </c>
      <c r="H15" s="27">
        <v>45978</v>
      </c>
      <c r="I15" s="27">
        <v>45978</v>
      </c>
      <c r="J15" s="27"/>
      <c r="K15" s="27"/>
      <c r="L15" s="38" t="s">
        <v>37</v>
      </c>
      <c r="M15" s="32" t="s">
        <v>39</v>
      </c>
      <c r="N15" s="80"/>
      <c r="O15" s="80"/>
    </row>
    <row r="16" spans="1:15" ht="67.5" hidden="1">
      <c r="A16" s="17" t="s">
        <v>515</v>
      </c>
      <c r="B16" s="17" t="s">
        <v>139</v>
      </c>
      <c r="C16" s="16" t="s">
        <v>202</v>
      </c>
      <c r="D16" s="19" t="s">
        <v>124</v>
      </c>
      <c r="E16" s="19" t="s">
        <v>0</v>
      </c>
      <c r="F16" s="16" t="s">
        <v>200</v>
      </c>
      <c r="G16" s="19" t="s">
        <v>203</v>
      </c>
      <c r="H16" s="27">
        <v>45959</v>
      </c>
      <c r="I16" s="27">
        <v>45975</v>
      </c>
      <c r="J16" s="27"/>
      <c r="K16" s="27"/>
      <c r="L16" s="38" t="s">
        <v>37</v>
      </c>
      <c r="M16" s="32" t="s">
        <v>205</v>
      </c>
      <c r="N16" s="80"/>
      <c r="O16" s="80"/>
    </row>
    <row r="17" spans="1:15" ht="22.5" hidden="1">
      <c r="A17" s="17" t="s">
        <v>515</v>
      </c>
      <c r="B17" s="17" t="s">
        <v>139</v>
      </c>
      <c r="C17" s="16" t="s">
        <v>197</v>
      </c>
      <c r="D17" s="19" t="s">
        <v>124</v>
      </c>
      <c r="E17" s="19" t="s">
        <v>0</v>
      </c>
      <c r="F17" s="16" t="s">
        <v>198</v>
      </c>
      <c r="G17" s="19" t="s">
        <v>67</v>
      </c>
      <c r="H17" s="27">
        <v>45969</v>
      </c>
      <c r="I17" s="27">
        <v>45974</v>
      </c>
      <c r="J17" s="27"/>
      <c r="K17" s="27"/>
      <c r="L17" s="38" t="s">
        <v>37</v>
      </c>
      <c r="M17" s="32" t="s">
        <v>39</v>
      </c>
      <c r="N17" s="80"/>
      <c r="O17" s="80"/>
    </row>
    <row r="18" spans="1:15" ht="11.25" hidden="1">
      <c r="A18" s="17" t="s">
        <v>515</v>
      </c>
      <c r="B18" s="17" t="s">
        <v>139</v>
      </c>
      <c r="C18" s="16" t="s">
        <v>197</v>
      </c>
      <c r="D18" s="19" t="s">
        <v>124</v>
      </c>
      <c r="E18" s="19" t="s">
        <v>0</v>
      </c>
      <c r="F18" s="16" t="s">
        <v>199</v>
      </c>
      <c r="G18" s="19" t="s">
        <v>67</v>
      </c>
      <c r="H18" s="27">
        <v>45978</v>
      </c>
      <c r="I18" s="27">
        <v>45978</v>
      </c>
      <c r="J18" s="27"/>
      <c r="K18" s="27"/>
      <c r="L18" s="38" t="s">
        <v>37</v>
      </c>
      <c r="M18" s="32" t="s">
        <v>39</v>
      </c>
      <c r="N18" s="80"/>
      <c r="O18" s="80"/>
    </row>
    <row r="19" spans="1:15" ht="56.25" hidden="1">
      <c r="A19" s="17" t="s">
        <v>515</v>
      </c>
      <c r="B19" s="17" t="s">
        <v>139</v>
      </c>
      <c r="C19" s="16" t="s">
        <v>197</v>
      </c>
      <c r="D19" s="19" t="s">
        <v>124</v>
      </c>
      <c r="E19" s="19" t="s">
        <v>0</v>
      </c>
      <c r="F19" s="16" t="s">
        <v>200</v>
      </c>
      <c r="G19" s="19" t="s">
        <v>67</v>
      </c>
      <c r="H19" s="27">
        <v>45975</v>
      </c>
      <c r="I19" s="27">
        <v>45979</v>
      </c>
      <c r="J19" s="27"/>
      <c r="K19" s="27"/>
      <c r="L19" s="38" t="s">
        <v>37</v>
      </c>
      <c r="M19" s="32" t="s">
        <v>201</v>
      </c>
      <c r="N19" s="80"/>
      <c r="O19" s="80"/>
    </row>
    <row r="20" spans="1:15" ht="11.25" hidden="1">
      <c r="A20" s="17" t="s">
        <v>518</v>
      </c>
      <c r="B20" s="17" t="s">
        <v>85</v>
      </c>
      <c r="C20" s="16" t="s">
        <v>86</v>
      </c>
      <c r="D20" s="19" t="s">
        <v>124</v>
      </c>
      <c r="E20" s="19" t="s">
        <v>0</v>
      </c>
      <c r="F20" s="16" t="s">
        <v>63</v>
      </c>
      <c r="G20" s="19" t="s">
        <v>64</v>
      </c>
      <c r="H20" s="14">
        <v>45910</v>
      </c>
      <c r="I20" s="14">
        <v>45960</v>
      </c>
      <c r="J20" s="14"/>
      <c r="K20" s="14"/>
      <c r="L20" s="38" t="s">
        <v>37</v>
      </c>
      <c r="M20" s="18" t="s">
        <v>65</v>
      </c>
      <c r="N20" s="80"/>
      <c r="O20" s="80"/>
    </row>
    <row r="21" spans="1:15" ht="11.25" hidden="1">
      <c r="A21" s="17" t="s">
        <v>518</v>
      </c>
      <c r="B21" s="17" t="s">
        <v>85</v>
      </c>
      <c r="C21" s="16" t="s">
        <v>480</v>
      </c>
      <c r="D21" s="19" t="s">
        <v>124</v>
      </c>
      <c r="E21" s="19" t="s">
        <v>0</v>
      </c>
      <c r="F21" s="16" t="s">
        <v>481</v>
      </c>
      <c r="G21" s="19" t="s">
        <v>482</v>
      </c>
      <c r="H21" s="27">
        <v>45996</v>
      </c>
      <c r="I21" s="27">
        <v>46006</v>
      </c>
      <c r="J21" s="27"/>
      <c r="K21" s="15"/>
      <c r="L21" s="40" t="s">
        <v>6</v>
      </c>
      <c r="M21" s="18"/>
      <c r="N21" s="80"/>
      <c r="O21" s="80"/>
    </row>
    <row r="22" spans="1:15" ht="11.25" hidden="1">
      <c r="A22" s="17" t="s">
        <v>518</v>
      </c>
      <c r="B22" s="17" t="s">
        <v>85</v>
      </c>
      <c r="C22" s="16" t="s">
        <v>86</v>
      </c>
      <c r="D22" s="19" t="s">
        <v>124</v>
      </c>
      <c r="E22" s="19" t="s">
        <v>0</v>
      </c>
      <c r="F22" s="16" t="s">
        <v>66</v>
      </c>
      <c r="G22" s="19" t="s">
        <v>67</v>
      </c>
      <c r="H22" s="14">
        <v>45960</v>
      </c>
      <c r="I22" s="14">
        <v>45975</v>
      </c>
      <c r="J22" s="14"/>
      <c r="K22" s="14"/>
      <c r="L22" s="38" t="s">
        <v>37</v>
      </c>
      <c r="M22" s="18" t="s">
        <v>68</v>
      </c>
      <c r="N22" s="80"/>
      <c r="O22" s="80"/>
    </row>
    <row r="23" spans="1:15" ht="33.75" hidden="1">
      <c r="A23" s="17" t="s">
        <v>521</v>
      </c>
      <c r="B23" s="17" t="s">
        <v>138</v>
      </c>
      <c r="C23" s="16" t="s">
        <v>186</v>
      </c>
      <c r="D23" s="19" t="s">
        <v>124</v>
      </c>
      <c r="E23" s="19" t="s">
        <v>0</v>
      </c>
      <c r="F23" s="16" t="s">
        <v>187</v>
      </c>
      <c r="G23" s="19" t="s">
        <v>188</v>
      </c>
      <c r="H23" s="27">
        <v>45961</v>
      </c>
      <c r="I23" s="27">
        <v>45966</v>
      </c>
      <c r="J23" s="27"/>
      <c r="K23" s="27"/>
      <c r="L23" s="38" t="s">
        <v>37</v>
      </c>
      <c r="M23" s="32" t="s">
        <v>184</v>
      </c>
      <c r="N23" s="80"/>
      <c r="O23" s="80"/>
    </row>
    <row r="24" spans="1:15" ht="56.25" hidden="1">
      <c r="A24" s="17" t="s">
        <v>521</v>
      </c>
      <c r="B24" s="17" t="s">
        <v>138</v>
      </c>
      <c r="C24" s="16" t="s">
        <v>186</v>
      </c>
      <c r="D24" s="19" t="s">
        <v>124</v>
      </c>
      <c r="E24" s="19" t="s">
        <v>0</v>
      </c>
      <c r="F24" s="16" t="s">
        <v>189</v>
      </c>
      <c r="G24" s="19" t="s">
        <v>190</v>
      </c>
      <c r="H24" s="15" t="s">
        <v>191</v>
      </c>
      <c r="I24" s="15" t="s">
        <v>192</v>
      </c>
      <c r="J24" s="15"/>
      <c r="K24" s="15"/>
      <c r="L24" s="38" t="s">
        <v>37</v>
      </c>
      <c r="M24" s="32" t="s">
        <v>193</v>
      </c>
      <c r="N24" s="80"/>
      <c r="O24" s="80"/>
    </row>
    <row r="25" spans="1:15" ht="9.75" hidden="1" customHeight="1">
      <c r="A25" s="17" t="s">
        <v>521</v>
      </c>
      <c r="B25" s="17" t="s">
        <v>138</v>
      </c>
      <c r="C25" s="16" t="s">
        <v>186</v>
      </c>
      <c r="D25" s="19" t="s">
        <v>124</v>
      </c>
      <c r="E25" s="19" t="s">
        <v>0</v>
      </c>
      <c r="F25" s="16" t="s">
        <v>194</v>
      </c>
      <c r="G25" s="19" t="s">
        <v>124</v>
      </c>
      <c r="H25" s="15" t="s">
        <v>192</v>
      </c>
      <c r="I25" s="15" t="s">
        <v>195</v>
      </c>
      <c r="J25" s="15"/>
      <c r="K25" s="15"/>
      <c r="L25" s="38" t="s">
        <v>37</v>
      </c>
      <c r="M25" s="32" t="s">
        <v>196</v>
      </c>
      <c r="N25" s="80"/>
      <c r="O25" s="80"/>
    </row>
    <row r="26" spans="1:15" ht="9.75" hidden="1" customHeight="1">
      <c r="A26" s="17" t="s">
        <v>522</v>
      </c>
      <c r="B26" s="17" t="s">
        <v>125</v>
      </c>
      <c r="C26" s="16" t="s">
        <v>179</v>
      </c>
      <c r="D26" s="19" t="s">
        <v>124</v>
      </c>
      <c r="E26" s="19" t="s">
        <v>0</v>
      </c>
      <c r="F26" s="16" t="s">
        <v>175</v>
      </c>
      <c r="G26" s="19" t="s">
        <v>124</v>
      </c>
      <c r="H26" s="27">
        <v>45951</v>
      </c>
      <c r="I26" s="15" t="s">
        <v>39</v>
      </c>
      <c r="J26" s="15"/>
      <c r="K26" s="15"/>
      <c r="L26" s="38" t="s">
        <v>37</v>
      </c>
      <c r="M26" s="18" t="s">
        <v>176</v>
      </c>
      <c r="N26" s="80"/>
      <c r="O26" s="80"/>
    </row>
    <row r="27" spans="1:15" ht="9.75" hidden="1" customHeight="1">
      <c r="A27" s="17" t="s">
        <v>522</v>
      </c>
      <c r="B27" s="17" t="s">
        <v>125</v>
      </c>
      <c r="C27" s="16" t="s">
        <v>179</v>
      </c>
      <c r="D27" s="19" t="s">
        <v>124</v>
      </c>
      <c r="E27" s="19" t="s">
        <v>0</v>
      </c>
      <c r="F27" s="16" t="s">
        <v>177</v>
      </c>
      <c r="G27" s="19" t="s">
        <v>124</v>
      </c>
      <c r="H27" s="27">
        <v>45973</v>
      </c>
      <c r="I27" s="15" t="s">
        <v>39</v>
      </c>
      <c r="J27" s="15"/>
      <c r="K27" s="15"/>
      <c r="L27" s="38" t="s">
        <v>37</v>
      </c>
      <c r="M27" s="18" t="s">
        <v>178</v>
      </c>
      <c r="N27" s="80"/>
      <c r="O27" s="80"/>
    </row>
    <row r="28" spans="1:15" ht="9.75" hidden="1" customHeight="1">
      <c r="A28" s="17" t="s">
        <v>523</v>
      </c>
      <c r="B28" s="17" t="s">
        <v>141</v>
      </c>
      <c r="C28" s="16" t="s">
        <v>215</v>
      </c>
      <c r="D28" s="19" t="s">
        <v>124</v>
      </c>
      <c r="E28" s="19" t="s">
        <v>0</v>
      </c>
      <c r="F28" s="16" t="s">
        <v>216</v>
      </c>
      <c r="G28" s="41" t="s">
        <v>210</v>
      </c>
      <c r="H28" s="27">
        <v>45953</v>
      </c>
      <c r="I28" s="27">
        <v>45975</v>
      </c>
      <c r="J28" s="27">
        <v>46048</v>
      </c>
      <c r="K28" s="27"/>
      <c r="L28" s="38" t="s">
        <v>37</v>
      </c>
      <c r="M28" s="32"/>
      <c r="N28" s="80"/>
      <c r="O28" s="80"/>
    </row>
    <row r="29" spans="1:15" ht="33.75" hidden="1">
      <c r="A29" s="17" t="s">
        <v>523</v>
      </c>
      <c r="B29" s="17" t="s">
        <v>141</v>
      </c>
      <c r="C29" s="16" t="s">
        <v>215</v>
      </c>
      <c r="D29" s="19" t="s">
        <v>124</v>
      </c>
      <c r="E29" s="19" t="s">
        <v>0</v>
      </c>
      <c r="F29" s="16" t="s">
        <v>217</v>
      </c>
      <c r="G29" s="41" t="s">
        <v>218</v>
      </c>
      <c r="H29" s="27">
        <v>45952</v>
      </c>
      <c r="I29" s="27">
        <v>46050</v>
      </c>
      <c r="J29" s="27"/>
      <c r="K29" s="27"/>
      <c r="L29" s="38" t="s">
        <v>37</v>
      </c>
      <c r="M29" s="32" t="s">
        <v>487</v>
      </c>
      <c r="N29" s="80"/>
      <c r="O29" s="80"/>
    </row>
    <row r="30" spans="1:15" ht="22.5" hidden="1">
      <c r="A30" s="17" t="s">
        <v>523</v>
      </c>
      <c r="B30" s="17" t="s">
        <v>141</v>
      </c>
      <c r="C30" s="16" t="s">
        <v>215</v>
      </c>
      <c r="D30" s="19" t="s">
        <v>124</v>
      </c>
      <c r="E30" s="19" t="s">
        <v>0</v>
      </c>
      <c r="F30" s="16" t="s">
        <v>219</v>
      </c>
      <c r="G30" s="41" t="s">
        <v>210</v>
      </c>
      <c r="H30" s="27">
        <v>45953</v>
      </c>
      <c r="I30" s="15" t="s">
        <v>220</v>
      </c>
      <c r="J30" s="15"/>
      <c r="K30" s="15"/>
      <c r="L30" s="38" t="s">
        <v>7</v>
      </c>
      <c r="M30" s="32"/>
      <c r="N30" s="80"/>
      <c r="O30" s="80"/>
    </row>
    <row r="31" spans="1:15" ht="11.25" hidden="1">
      <c r="A31" s="17" t="s">
        <v>523</v>
      </c>
      <c r="B31" s="17" t="s">
        <v>141</v>
      </c>
      <c r="C31" s="16" t="s">
        <v>215</v>
      </c>
      <c r="D31" s="19" t="s">
        <v>124</v>
      </c>
      <c r="E31" s="19" t="s">
        <v>0</v>
      </c>
      <c r="F31" s="16" t="s">
        <v>223</v>
      </c>
      <c r="G31" s="41" t="s">
        <v>221</v>
      </c>
      <c r="H31" s="15" t="s">
        <v>222</v>
      </c>
      <c r="I31" s="27">
        <v>46062</v>
      </c>
      <c r="J31" s="27"/>
      <c r="K31" s="15"/>
      <c r="L31" s="38" t="s">
        <v>42</v>
      </c>
      <c r="M31" s="32"/>
      <c r="N31" s="80"/>
      <c r="O31" s="80"/>
    </row>
    <row r="32" spans="1:15" ht="11.25" hidden="1">
      <c r="A32" s="17" t="s">
        <v>523</v>
      </c>
      <c r="B32" s="17" t="s">
        <v>141</v>
      </c>
      <c r="C32" s="16" t="s">
        <v>215</v>
      </c>
      <c r="D32" s="19" t="s">
        <v>124</v>
      </c>
      <c r="E32" s="19" t="s">
        <v>0</v>
      </c>
      <c r="F32" s="16" t="s">
        <v>224</v>
      </c>
      <c r="G32" s="41" t="s">
        <v>221</v>
      </c>
      <c r="H32" s="27">
        <v>45975</v>
      </c>
      <c r="I32" s="27">
        <v>45989</v>
      </c>
      <c r="J32" s="27"/>
      <c r="K32" s="27"/>
      <c r="L32" s="38" t="s">
        <v>37</v>
      </c>
      <c r="M32" s="32"/>
      <c r="N32" s="80"/>
      <c r="O32" s="80"/>
    </row>
    <row r="33" spans="1:15" ht="9.75" hidden="1" customHeight="1">
      <c r="A33" s="17" t="s">
        <v>523</v>
      </c>
      <c r="B33" s="17" t="s">
        <v>141</v>
      </c>
      <c r="C33" s="16" t="s">
        <v>215</v>
      </c>
      <c r="D33" s="19" t="s">
        <v>124</v>
      </c>
      <c r="E33" s="19" t="s">
        <v>0</v>
      </c>
      <c r="F33" s="16" t="s">
        <v>225</v>
      </c>
      <c r="G33" s="41" t="s">
        <v>221</v>
      </c>
      <c r="H33" s="27">
        <v>46020</v>
      </c>
      <c r="I33" s="27">
        <v>46048</v>
      </c>
      <c r="J33" s="27"/>
      <c r="K33" s="27"/>
      <c r="L33" s="38" t="s">
        <v>37</v>
      </c>
      <c r="M33" s="32"/>
      <c r="N33" s="80"/>
      <c r="O33" s="80"/>
    </row>
    <row r="34" spans="1:15" ht="11.25" hidden="1">
      <c r="A34" s="17" t="s">
        <v>523</v>
      </c>
      <c r="B34" s="17" t="s">
        <v>141</v>
      </c>
      <c r="C34" s="16" t="s">
        <v>215</v>
      </c>
      <c r="D34" s="19" t="s">
        <v>124</v>
      </c>
      <c r="E34" s="19" t="s">
        <v>0</v>
      </c>
      <c r="F34" s="16" t="s">
        <v>226</v>
      </c>
      <c r="G34" s="41" t="s">
        <v>221</v>
      </c>
      <c r="H34" s="27">
        <v>45989</v>
      </c>
      <c r="I34" s="27">
        <v>45992</v>
      </c>
      <c r="J34" s="27"/>
      <c r="K34" s="15"/>
      <c r="L34" s="38" t="s">
        <v>6</v>
      </c>
      <c r="M34" s="32"/>
      <c r="N34" s="80"/>
      <c r="O34" s="80"/>
    </row>
    <row r="35" spans="1:15" ht="22.5" hidden="1">
      <c r="A35" s="17" t="s">
        <v>524</v>
      </c>
      <c r="B35" s="17" t="s">
        <v>126</v>
      </c>
      <c r="C35" s="16" t="s">
        <v>181</v>
      </c>
      <c r="D35" s="19" t="s">
        <v>124</v>
      </c>
      <c r="E35" s="19" t="s">
        <v>0</v>
      </c>
      <c r="F35" s="16" t="s">
        <v>175</v>
      </c>
      <c r="G35" s="19" t="s">
        <v>124</v>
      </c>
      <c r="H35" s="27">
        <v>45968</v>
      </c>
      <c r="I35" s="27">
        <v>45973</v>
      </c>
      <c r="J35" s="27"/>
      <c r="K35" s="27"/>
      <c r="L35" s="38" t="s">
        <v>37</v>
      </c>
      <c r="M35" s="18" t="s">
        <v>176</v>
      </c>
      <c r="N35" s="80"/>
      <c r="O35" s="80"/>
    </row>
    <row r="36" spans="1:15" ht="56.25" hidden="1">
      <c r="A36" s="17" t="s">
        <v>524</v>
      </c>
      <c r="B36" s="17" t="s">
        <v>126</v>
      </c>
      <c r="C36" s="16" t="s">
        <v>181</v>
      </c>
      <c r="D36" s="19" t="s">
        <v>124</v>
      </c>
      <c r="E36" s="19" t="s">
        <v>0</v>
      </c>
      <c r="F36" s="16" t="s">
        <v>177</v>
      </c>
      <c r="G36" s="19" t="s">
        <v>124</v>
      </c>
      <c r="H36" s="27">
        <v>45949</v>
      </c>
      <c r="I36" s="15" t="s">
        <v>39</v>
      </c>
      <c r="J36" s="15"/>
      <c r="K36" s="15"/>
      <c r="L36" s="38" t="s">
        <v>37</v>
      </c>
      <c r="M36" s="18" t="s">
        <v>180</v>
      </c>
      <c r="N36" s="80"/>
      <c r="O36" s="80"/>
    </row>
    <row r="37" spans="1:15" ht="22.5" hidden="1">
      <c r="A37" s="17" t="s">
        <v>525</v>
      </c>
      <c r="B37" s="17" t="s">
        <v>140</v>
      </c>
      <c r="C37" s="16" t="s">
        <v>206</v>
      </c>
      <c r="D37" s="19" t="s">
        <v>124</v>
      </c>
      <c r="E37" s="19" t="s">
        <v>0</v>
      </c>
      <c r="F37" s="16" t="s">
        <v>207</v>
      </c>
      <c r="G37" s="41" t="s">
        <v>208</v>
      </c>
      <c r="H37" s="27">
        <v>45972</v>
      </c>
      <c r="I37" s="27">
        <v>45987</v>
      </c>
      <c r="J37" s="27"/>
      <c r="K37" s="27"/>
      <c r="L37" s="38" t="s">
        <v>37</v>
      </c>
      <c r="M37" s="32" t="s">
        <v>375</v>
      </c>
      <c r="N37" s="80"/>
      <c r="O37" s="80"/>
    </row>
    <row r="38" spans="1:15" ht="45" hidden="1">
      <c r="A38" s="17" t="s">
        <v>525</v>
      </c>
      <c r="B38" s="17" t="s">
        <v>140</v>
      </c>
      <c r="C38" s="16" t="s">
        <v>206</v>
      </c>
      <c r="D38" s="19" t="s">
        <v>124</v>
      </c>
      <c r="E38" s="19" t="s">
        <v>0</v>
      </c>
      <c r="F38" s="16" t="s">
        <v>321</v>
      </c>
      <c r="G38" s="41" t="s">
        <v>322</v>
      </c>
      <c r="H38" s="27">
        <v>45979</v>
      </c>
      <c r="I38" s="27">
        <v>45989</v>
      </c>
      <c r="J38" s="27"/>
      <c r="K38" s="15"/>
      <c r="L38" s="40" t="s">
        <v>6</v>
      </c>
      <c r="M38" s="32" t="s">
        <v>483</v>
      </c>
      <c r="N38" s="80"/>
      <c r="O38" s="80"/>
    </row>
    <row r="39" spans="1:15" ht="11.25" hidden="1">
      <c r="A39" s="17" t="s">
        <v>525</v>
      </c>
      <c r="B39" s="17" t="s">
        <v>140</v>
      </c>
      <c r="C39" s="16" t="s">
        <v>206</v>
      </c>
      <c r="D39" s="19" t="s">
        <v>124</v>
      </c>
      <c r="E39" s="19" t="s">
        <v>0</v>
      </c>
      <c r="F39" s="16" t="s">
        <v>484</v>
      </c>
      <c r="G39" s="41" t="s">
        <v>67</v>
      </c>
      <c r="H39" s="27">
        <v>45975</v>
      </c>
      <c r="I39" s="27">
        <v>45988</v>
      </c>
      <c r="J39" s="27"/>
      <c r="K39" s="27"/>
      <c r="L39" s="40" t="s">
        <v>37</v>
      </c>
      <c r="M39" s="32"/>
      <c r="N39" s="80"/>
      <c r="O39" s="80"/>
    </row>
    <row r="40" spans="1:15" ht="22.5" hidden="1">
      <c r="A40" s="17" t="s">
        <v>525</v>
      </c>
      <c r="B40" s="17" t="s">
        <v>140</v>
      </c>
      <c r="C40" s="16" t="s">
        <v>206</v>
      </c>
      <c r="D40" s="19" t="s">
        <v>124</v>
      </c>
      <c r="E40" s="19" t="s">
        <v>0</v>
      </c>
      <c r="F40" s="16" t="s">
        <v>485</v>
      </c>
      <c r="G40" s="41" t="s">
        <v>67</v>
      </c>
      <c r="H40" s="27">
        <v>45683</v>
      </c>
      <c r="I40" s="27">
        <v>45718</v>
      </c>
      <c r="J40" s="27"/>
      <c r="K40" s="15"/>
      <c r="L40" s="40" t="s">
        <v>41</v>
      </c>
      <c r="M40" s="32"/>
      <c r="N40" s="80"/>
      <c r="O40" s="80"/>
    </row>
    <row r="41" spans="1:15" ht="22.5" hidden="1">
      <c r="A41" s="17" t="s">
        <v>525</v>
      </c>
      <c r="B41" s="17" t="s">
        <v>140</v>
      </c>
      <c r="C41" s="16" t="s">
        <v>206</v>
      </c>
      <c r="D41" s="19" t="s">
        <v>124</v>
      </c>
      <c r="E41" s="19" t="s">
        <v>0</v>
      </c>
      <c r="F41" s="16" t="s">
        <v>323</v>
      </c>
      <c r="G41" s="41" t="s">
        <v>67</v>
      </c>
      <c r="H41" s="27">
        <v>45975</v>
      </c>
      <c r="I41" s="27">
        <v>45989</v>
      </c>
      <c r="J41" s="27"/>
      <c r="K41" s="15"/>
      <c r="L41" s="40" t="s">
        <v>6</v>
      </c>
      <c r="M41" s="32" t="s">
        <v>483</v>
      </c>
      <c r="N41" s="80"/>
      <c r="O41" s="80"/>
    </row>
    <row r="42" spans="1:15" ht="11.25" hidden="1">
      <c r="A42" s="17" t="s">
        <v>525</v>
      </c>
      <c r="B42" s="17" t="s">
        <v>140</v>
      </c>
      <c r="C42" s="16" t="s">
        <v>206</v>
      </c>
      <c r="D42" s="19" t="s">
        <v>124</v>
      </c>
      <c r="E42" s="19" t="s">
        <v>0</v>
      </c>
      <c r="F42" s="16" t="s">
        <v>324</v>
      </c>
      <c r="G42" s="41" t="s">
        <v>67</v>
      </c>
      <c r="H42" s="27">
        <v>45975</v>
      </c>
      <c r="I42" s="27">
        <v>46018</v>
      </c>
      <c r="J42" s="27"/>
      <c r="K42" s="15"/>
      <c r="L42" s="40" t="s">
        <v>6</v>
      </c>
      <c r="M42" s="32"/>
      <c r="N42" s="80"/>
      <c r="O42" s="80"/>
    </row>
    <row r="43" spans="1:15" ht="11.25" hidden="1">
      <c r="A43" s="17" t="s">
        <v>525</v>
      </c>
      <c r="B43" s="17" t="s">
        <v>140</v>
      </c>
      <c r="C43" s="16" t="s">
        <v>206</v>
      </c>
      <c r="D43" s="19" t="s">
        <v>124</v>
      </c>
      <c r="E43" s="19" t="s">
        <v>0</v>
      </c>
      <c r="F43" s="16" t="s">
        <v>325</v>
      </c>
      <c r="G43" s="41" t="s">
        <v>67</v>
      </c>
      <c r="H43" s="27">
        <v>45975</v>
      </c>
      <c r="I43" s="27">
        <v>46018</v>
      </c>
      <c r="J43" s="27"/>
      <c r="K43" s="15"/>
      <c r="L43" s="40" t="s">
        <v>6</v>
      </c>
      <c r="M43" s="32"/>
      <c r="N43" s="80"/>
      <c r="O43" s="80"/>
    </row>
    <row r="44" spans="1:15" ht="11.25" hidden="1">
      <c r="A44" s="17" t="s">
        <v>525</v>
      </c>
      <c r="B44" s="17" t="s">
        <v>140</v>
      </c>
      <c r="C44" s="16" t="s">
        <v>206</v>
      </c>
      <c r="D44" s="19" t="s">
        <v>124</v>
      </c>
      <c r="E44" s="19" t="s">
        <v>0</v>
      </c>
      <c r="F44" s="16" t="s">
        <v>326</v>
      </c>
      <c r="G44" s="41" t="s">
        <v>67</v>
      </c>
      <c r="H44" s="27">
        <v>45975</v>
      </c>
      <c r="I44" s="27">
        <v>45674</v>
      </c>
      <c r="J44" s="27"/>
      <c r="K44" s="15"/>
      <c r="L44" s="40" t="s">
        <v>6</v>
      </c>
      <c r="M44" s="32"/>
      <c r="N44" s="80"/>
      <c r="O44" s="80"/>
    </row>
    <row r="45" spans="1:15" ht="22.5" hidden="1">
      <c r="A45" s="17" t="s">
        <v>525</v>
      </c>
      <c r="B45" s="17" t="s">
        <v>140</v>
      </c>
      <c r="C45" s="16" t="s">
        <v>206</v>
      </c>
      <c r="D45" s="19" t="s">
        <v>124</v>
      </c>
      <c r="E45" s="19" t="s">
        <v>0</v>
      </c>
      <c r="F45" s="16" t="s">
        <v>209</v>
      </c>
      <c r="G45" s="19" t="s">
        <v>210</v>
      </c>
      <c r="H45" s="27">
        <v>45972</v>
      </c>
      <c r="I45" s="27">
        <v>45981</v>
      </c>
      <c r="J45" s="27"/>
      <c r="K45" s="27"/>
      <c r="L45" s="38" t="s">
        <v>37</v>
      </c>
      <c r="M45" s="32" t="s">
        <v>39</v>
      </c>
      <c r="N45" s="80"/>
      <c r="O45" s="80"/>
    </row>
    <row r="46" spans="1:15" ht="56.25" hidden="1">
      <c r="A46" s="17" t="s">
        <v>525</v>
      </c>
      <c r="B46" s="17" t="s">
        <v>140</v>
      </c>
      <c r="C46" s="16" t="s">
        <v>206</v>
      </c>
      <c r="D46" s="19" t="s">
        <v>124</v>
      </c>
      <c r="E46" s="19" t="s">
        <v>0</v>
      </c>
      <c r="F46" s="16" t="s">
        <v>211</v>
      </c>
      <c r="G46" s="19" t="s">
        <v>67</v>
      </c>
      <c r="H46" s="27">
        <v>45975</v>
      </c>
      <c r="I46" s="15" t="s">
        <v>213</v>
      </c>
      <c r="J46" s="15"/>
      <c r="K46" s="15"/>
      <c r="L46" s="38" t="s">
        <v>37</v>
      </c>
      <c r="M46" s="32" t="s">
        <v>214</v>
      </c>
      <c r="N46" s="80"/>
      <c r="O46" s="80"/>
    </row>
    <row r="47" spans="1:15" ht="56.25" hidden="1">
      <c r="A47" s="17" t="s">
        <v>525</v>
      </c>
      <c r="B47" s="17" t="s">
        <v>140</v>
      </c>
      <c r="C47" s="16" t="s">
        <v>206</v>
      </c>
      <c r="D47" s="19" t="s">
        <v>124</v>
      </c>
      <c r="E47" s="19" t="s">
        <v>0</v>
      </c>
      <c r="F47" s="16" t="s">
        <v>212</v>
      </c>
      <c r="G47" s="19" t="s">
        <v>67</v>
      </c>
      <c r="H47" s="27">
        <v>45975</v>
      </c>
      <c r="I47" s="15" t="s">
        <v>213</v>
      </c>
      <c r="J47" s="15"/>
      <c r="K47" s="15"/>
      <c r="L47" s="38" t="s">
        <v>37</v>
      </c>
      <c r="M47" s="32" t="s">
        <v>214</v>
      </c>
      <c r="N47" s="80"/>
      <c r="O47" s="80"/>
    </row>
    <row r="48" spans="1:15" ht="9.75" hidden="1" customHeight="1">
      <c r="A48" s="17" t="s">
        <v>526</v>
      </c>
      <c r="B48" s="17" t="s">
        <v>137</v>
      </c>
      <c r="C48" s="16" t="s">
        <v>182</v>
      </c>
      <c r="D48" s="19" t="s">
        <v>124</v>
      </c>
      <c r="E48" s="19" t="s">
        <v>0</v>
      </c>
      <c r="F48" s="16" t="s">
        <v>183</v>
      </c>
      <c r="G48" s="19" t="s">
        <v>124</v>
      </c>
      <c r="H48" s="27">
        <v>45973</v>
      </c>
      <c r="I48" s="27">
        <v>45974</v>
      </c>
      <c r="J48" s="27"/>
      <c r="K48" s="27"/>
      <c r="L48" s="38" t="s">
        <v>37</v>
      </c>
      <c r="M48" s="18" t="s">
        <v>184</v>
      </c>
      <c r="N48" s="80"/>
      <c r="O48" s="80"/>
    </row>
    <row r="49" spans="1:15" ht="11.25" hidden="1">
      <c r="A49" s="17" t="s">
        <v>526</v>
      </c>
      <c r="B49" s="17" t="s">
        <v>137</v>
      </c>
      <c r="C49" s="16" t="s">
        <v>182</v>
      </c>
      <c r="D49" s="19" t="s">
        <v>124</v>
      </c>
      <c r="E49" s="19" t="s">
        <v>0</v>
      </c>
      <c r="F49" s="16" t="s">
        <v>185</v>
      </c>
      <c r="G49" s="19" t="s">
        <v>39</v>
      </c>
      <c r="H49" s="27">
        <v>42321</v>
      </c>
      <c r="I49" s="15" t="s">
        <v>39</v>
      </c>
      <c r="J49" s="15"/>
      <c r="K49" s="15"/>
      <c r="L49" s="38" t="s">
        <v>37</v>
      </c>
      <c r="M49" s="32"/>
      <c r="N49" s="80"/>
      <c r="O49" s="80"/>
    </row>
    <row r="50" spans="1:15" ht="22.5" hidden="1">
      <c r="A50" s="17" t="s">
        <v>527</v>
      </c>
      <c r="B50" s="17" t="s">
        <v>71</v>
      </c>
      <c r="C50" s="16" t="s">
        <v>168</v>
      </c>
      <c r="D50" s="19" t="s">
        <v>15</v>
      </c>
      <c r="E50" s="19" t="s">
        <v>312</v>
      </c>
      <c r="F50" s="16" t="s">
        <v>43</v>
      </c>
      <c r="G50" s="19" t="s">
        <v>44</v>
      </c>
      <c r="H50" s="14">
        <v>45965</v>
      </c>
      <c r="I50" s="14">
        <v>45971</v>
      </c>
      <c r="J50" s="14"/>
      <c r="K50" s="14"/>
      <c r="L50" s="38" t="s">
        <v>37</v>
      </c>
      <c r="M50" s="18" t="s">
        <v>46</v>
      </c>
      <c r="N50" s="80"/>
      <c r="O50" s="80"/>
    </row>
    <row r="51" spans="1:15" ht="22.5" hidden="1">
      <c r="A51" s="17" t="s">
        <v>527</v>
      </c>
      <c r="B51" s="17" t="s">
        <v>71</v>
      </c>
      <c r="C51" s="16" t="s">
        <v>168</v>
      </c>
      <c r="D51" s="19" t="s">
        <v>15</v>
      </c>
      <c r="E51" s="19" t="s">
        <v>0</v>
      </c>
      <c r="F51" s="16" t="s">
        <v>45</v>
      </c>
      <c r="G51" s="19" t="s">
        <v>15</v>
      </c>
      <c r="H51" s="14">
        <v>45966</v>
      </c>
      <c r="I51" s="14">
        <v>45973</v>
      </c>
      <c r="J51" s="14"/>
      <c r="K51" s="14"/>
      <c r="L51" s="38" t="s">
        <v>37</v>
      </c>
      <c r="M51" s="18" t="s">
        <v>47</v>
      </c>
      <c r="N51" s="80"/>
      <c r="O51" s="80"/>
    </row>
    <row r="52" spans="1:15" ht="11.25">
      <c r="A52" s="17" t="s">
        <v>527</v>
      </c>
      <c r="B52" s="17" t="s">
        <v>71</v>
      </c>
      <c r="C52" s="16" t="s">
        <v>168</v>
      </c>
      <c r="D52" s="19" t="s">
        <v>15</v>
      </c>
      <c r="E52" s="19" t="s">
        <v>0</v>
      </c>
      <c r="F52" s="16" t="s">
        <v>294</v>
      </c>
      <c r="G52" s="19" t="s">
        <v>295</v>
      </c>
      <c r="H52" s="27" t="s">
        <v>39</v>
      </c>
      <c r="I52" s="27">
        <v>45982</v>
      </c>
      <c r="J52" s="27"/>
      <c r="K52" s="15"/>
      <c r="L52" s="40" t="s">
        <v>42</v>
      </c>
      <c r="M52" s="18" t="s">
        <v>493</v>
      </c>
      <c r="N52" s="80"/>
      <c r="O52" s="80"/>
    </row>
    <row r="53" spans="1:15" ht="11.25" hidden="1">
      <c r="A53" s="17" t="s">
        <v>527</v>
      </c>
      <c r="B53" s="17" t="s">
        <v>71</v>
      </c>
      <c r="C53" s="16" t="s">
        <v>168</v>
      </c>
      <c r="D53" s="19" t="s">
        <v>15</v>
      </c>
      <c r="E53" s="19" t="s">
        <v>0</v>
      </c>
      <c r="F53" s="16" t="s">
        <v>296</v>
      </c>
      <c r="G53" s="19" t="s">
        <v>295</v>
      </c>
      <c r="H53" s="27" t="s">
        <v>39</v>
      </c>
      <c r="I53" s="27">
        <v>45989</v>
      </c>
      <c r="J53" s="27"/>
      <c r="K53" s="27"/>
      <c r="L53" s="40" t="s">
        <v>37</v>
      </c>
      <c r="M53" s="18"/>
      <c r="N53" s="80"/>
      <c r="O53" s="80"/>
    </row>
    <row r="54" spans="1:15" ht="45" hidden="1">
      <c r="A54" s="17" t="s">
        <v>527</v>
      </c>
      <c r="B54" s="17" t="s">
        <v>71</v>
      </c>
      <c r="C54" s="16" t="s">
        <v>168</v>
      </c>
      <c r="D54" s="19" t="s">
        <v>15</v>
      </c>
      <c r="E54" s="19" t="s">
        <v>0</v>
      </c>
      <c r="F54" s="16" t="s">
        <v>297</v>
      </c>
      <c r="G54" s="19" t="s">
        <v>295</v>
      </c>
      <c r="H54" s="27" t="s">
        <v>39</v>
      </c>
      <c r="I54" s="27">
        <v>45989</v>
      </c>
      <c r="J54" s="27"/>
      <c r="K54" s="27"/>
      <c r="L54" s="40" t="s">
        <v>37</v>
      </c>
      <c r="M54" s="18" t="s">
        <v>300</v>
      </c>
      <c r="N54" s="80"/>
      <c r="O54" s="80"/>
    </row>
    <row r="55" spans="1:15" ht="22.5">
      <c r="A55" s="17" t="s">
        <v>527</v>
      </c>
      <c r="B55" s="17" t="s">
        <v>71</v>
      </c>
      <c r="C55" s="16" t="s">
        <v>168</v>
      </c>
      <c r="D55" s="19" t="s">
        <v>15</v>
      </c>
      <c r="E55" s="19" t="s">
        <v>319</v>
      </c>
      <c r="F55" s="16" t="s">
        <v>298</v>
      </c>
      <c r="G55" s="19" t="s">
        <v>299</v>
      </c>
      <c r="H55" s="27">
        <v>45987</v>
      </c>
      <c r="I55" s="27">
        <v>46031</v>
      </c>
      <c r="J55" s="27"/>
      <c r="K55" s="27"/>
      <c r="L55" s="40" t="s">
        <v>316</v>
      </c>
      <c r="M55" s="18" t="s">
        <v>494</v>
      </c>
      <c r="N55" s="80"/>
      <c r="O55" s="80"/>
    </row>
    <row r="56" spans="1:15" ht="22.5" hidden="1">
      <c r="A56" s="17" t="s">
        <v>528</v>
      </c>
      <c r="B56" s="17" t="s">
        <v>80</v>
      </c>
      <c r="C56" s="16" t="s">
        <v>81</v>
      </c>
      <c r="D56" s="19" t="s">
        <v>15</v>
      </c>
      <c r="E56" s="19" t="s">
        <v>312</v>
      </c>
      <c r="F56" s="16" t="s">
        <v>43</v>
      </c>
      <c r="G56" s="19" t="s">
        <v>44</v>
      </c>
      <c r="H56" s="14">
        <v>45965</v>
      </c>
      <c r="I56" s="14">
        <v>45971</v>
      </c>
      <c r="J56" s="14"/>
      <c r="K56" s="14"/>
      <c r="L56" s="38" t="s">
        <v>37</v>
      </c>
      <c r="M56" s="18" t="s">
        <v>46</v>
      </c>
      <c r="N56" s="80"/>
      <c r="O56" s="80"/>
    </row>
    <row r="57" spans="1:15" ht="22.5" hidden="1">
      <c r="A57" s="17" t="s">
        <v>528</v>
      </c>
      <c r="B57" s="17" t="s">
        <v>80</v>
      </c>
      <c r="C57" s="16" t="s">
        <v>81</v>
      </c>
      <c r="D57" s="19" t="s">
        <v>15</v>
      </c>
      <c r="E57" s="19" t="s">
        <v>0</v>
      </c>
      <c r="F57" s="16" t="s">
        <v>45</v>
      </c>
      <c r="G57" s="19" t="s">
        <v>15</v>
      </c>
      <c r="H57" s="14">
        <v>45966</v>
      </c>
      <c r="I57" s="14">
        <v>45973</v>
      </c>
      <c r="J57" s="14"/>
      <c r="K57" s="14"/>
      <c r="L57" s="38" t="s">
        <v>37</v>
      </c>
      <c r="M57" s="18" t="s">
        <v>47</v>
      </c>
      <c r="N57" s="80"/>
      <c r="O57" s="80"/>
    </row>
    <row r="58" spans="1:15" ht="11.25" hidden="1">
      <c r="A58" s="17" t="s">
        <v>528</v>
      </c>
      <c r="B58" s="17" t="s">
        <v>80</v>
      </c>
      <c r="C58" s="16" t="s">
        <v>81</v>
      </c>
      <c r="D58" s="19" t="s">
        <v>15</v>
      </c>
      <c r="E58" s="19" t="s">
        <v>0</v>
      </c>
      <c r="F58" s="16" t="s">
        <v>309</v>
      </c>
      <c r="G58" s="19" t="s">
        <v>15</v>
      </c>
      <c r="H58" s="27">
        <v>45987</v>
      </c>
      <c r="I58" s="27">
        <v>46000</v>
      </c>
      <c r="J58" s="27"/>
      <c r="K58" s="27"/>
      <c r="L58" s="40" t="s">
        <v>37</v>
      </c>
      <c r="M58" s="18" t="s">
        <v>372</v>
      </c>
      <c r="N58" s="80"/>
      <c r="O58" s="80"/>
    </row>
    <row r="59" spans="1:15" ht="11.25">
      <c r="A59" s="17" t="s">
        <v>528</v>
      </c>
      <c r="B59" s="17" t="s">
        <v>80</v>
      </c>
      <c r="C59" s="16" t="s">
        <v>81</v>
      </c>
      <c r="D59" s="19" t="s">
        <v>15</v>
      </c>
      <c r="E59" s="19" t="s">
        <v>0</v>
      </c>
      <c r="F59" s="16" t="s">
        <v>310</v>
      </c>
      <c r="G59" s="19" t="s">
        <v>311</v>
      </c>
      <c r="H59" s="14" t="s">
        <v>39</v>
      </c>
      <c r="I59" s="14">
        <v>45966</v>
      </c>
      <c r="J59" s="14"/>
      <c r="K59" s="15"/>
      <c r="L59" s="38" t="s">
        <v>6</v>
      </c>
      <c r="M59" s="18" t="s">
        <v>373</v>
      </c>
      <c r="N59" s="80"/>
      <c r="O59" s="80"/>
    </row>
    <row r="60" spans="1:15" ht="22.5" hidden="1">
      <c r="A60" s="17" t="s">
        <v>529</v>
      </c>
      <c r="B60" s="17" t="s">
        <v>72</v>
      </c>
      <c r="C60" s="16" t="s">
        <v>78</v>
      </c>
      <c r="D60" s="19" t="s">
        <v>15</v>
      </c>
      <c r="E60" s="19" t="s">
        <v>312</v>
      </c>
      <c r="F60" s="16" t="s">
        <v>43</v>
      </c>
      <c r="G60" s="19" t="s">
        <v>44</v>
      </c>
      <c r="H60" s="14">
        <v>45965</v>
      </c>
      <c r="I60" s="14">
        <v>45971</v>
      </c>
      <c r="J60" s="14"/>
      <c r="K60" s="14"/>
      <c r="L60" s="38" t="s">
        <v>37</v>
      </c>
      <c r="M60" s="18" t="s">
        <v>46</v>
      </c>
      <c r="N60" s="80"/>
      <c r="O60" s="80"/>
    </row>
    <row r="61" spans="1:15" ht="22.5" hidden="1">
      <c r="A61" s="17" t="s">
        <v>529</v>
      </c>
      <c r="B61" s="17" t="s">
        <v>72</v>
      </c>
      <c r="C61" s="16" t="s">
        <v>78</v>
      </c>
      <c r="D61" s="19" t="s">
        <v>15</v>
      </c>
      <c r="E61" s="19" t="s">
        <v>0</v>
      </c>
      <c r="F61" s="16" t="s">
        <v>45</v>
      </c>
      <c r="G61" s="19" t="s">
        <v>15</v>
      </c>
      <c r="H61" s="14">
        <v>45966</v>
      </c>
      <c r="I61" s="14">
        <v>45973</v>
      </c>
      <c r="J61" s="14"/>
      <c r="K61" s="14"/>
      <c r="L61" s="38" t="s">
        <v>37</v>
      </c>
      <c r="M61" s="18" t="s">
        <v>47</v>
      </c>
      <c r="N61" s="80"/>
      <c r="O61" s="80"/>
    </row>
    <row r="62" spans="1:15" ht="11.25" hidden="1">
      <c r="A62" s="17" t="s">
        <v>529</v>
      </c>
      <c r="B62" s="17" t="s">
        <v>72</v>
      </c>
      <c r="C62" s="16" t="s">
        <v>78</v>
      </c>
      <c r="D62" s="19" t="s">
        <v>15</v>
      </c>
      <c r="E62" s="19" t="s">
        <v>319</v>
      </c>
      <c r="F62" s="16" t="s">
        <v>301</v>
      </c>
      <c r="G62" s="19" t="s">
        <v>15</v>
      </c>
      <c r="H62" s="27" t="s">
        <v>39</v>
      </c>
      <c r="I62" s="27">
        <v>45971</v>
      </c>
      <c r="J62" s="27"/>
      <c r="K62" s="27"/>
      <c r="L62" s="40" t="s">
        <v>37</v>
      </c>
      <c r="M62" s="18"/>
      <c r="N62" s="80"/>
      <c r="O62" s="80"/>
    </row>
    <row r="63" spans="1:15" ht="22.5" hidden="1">
      <c r="A63" s="17" t="s">
        <v>529</v>
      </c>
      <c r="B63" s="17" t="s">
        <v>72</v>
      </c>
      <c r="C63" s="16" t="s">
        <v>78</v>
      </c>
      <c r="D63" s="19" t="s">
        <v>15</v>
      </c>
      <c r="E63" s="19" t="s">
        <v>0</v>
      </c>
      <c r="F63" s="16" t="s">
        <v>302</v>
      </c>
      <c r="G63" s="19" t="s">
        <v>295</v>
      </c>
      <c r="H63" s="27" t="s">
        <v>39</v>
      </c>
      <c r="I63" s="27">
        <v>46006</v>
      </c>
      <c r="J63" s="27"/>
      <c r="K63" s="27"/>
      <c r="L63" s="40" t="s">
        <v>37</v>
      </c>
      <c r="M63" s="18" t="s">
        <v>303</v>
      </c>
      <c r="N63" s="80"/>
      <c r="O63" s="80"/>
    </row>
    <row r="64" spans="1:15" ht="11.25" hidden="1">
      <c r="A64" s="17" t="s">
        <v>530</v>
      </c>
      <c r="B64" s="17" t="s">
        <v>75</v>
      </c>
      <c r="C64" s="16" t="s">
        <v>76</v>
      </c>
      <c r="D64" s="19" t="s">
        <v>15</v>
      </c>
      <c r="E64" s="19" t="s">
        <v>0</v>
      </c>
      <c r="F64" s="16" t="s">
        <v>49</v>
      </c>
      <c r="G64" s="19" t="s">
        <v>15</v>
      </c>
      <c r="H64" s="14">
        <v>45971</v>
      </c>
      <c r="I64" s="14">
        <v>45975</v>
      </c>
      <c r="J64" s="14"/>
      <c r="K64" s="14"/>
      <c r="L64" s="38" t="s">
        <v>37</v>
      </c>
      <c r="M64" s="18"/>
      <c r="N64" s="80"/>
      <c r="O64" s="80"/>
    </row>
    <row r="65" spans="1:15" ht="11.25" hidden="1">
      <c r="A65" s="17" t="s">
        <v>530</v>
      </c>
      <c r="B65" s="17" t="s">
        <v>75</v>
      </c>
      <c r="C65" s="16" t="s">
        <v>76</v>
      </c>
      <c r="D65" s="19" t="s">
        <v>15</v>
      </c>
      <c r="E65" s="19" t="s">
        <v>0</v>
      </c>
      <c r="F65" s="16" t="s">
        <v>50</v>
      </c>
      <c r="G65" s="19" t="s">
        <v>15</v>
      </c>
      <c r="H65" s="14">
        <v>45972</v>
      </c>
      <c r="I65" s="14">
        <v>45975</v>
      </c>
      <c r="J65" s="14"/>
      <c r="K65" s="14"/>
      <c r="L65" s="38" t="s">
        <v>37</v>
      </c>
      <c r="M65" s="18"/>
      <c r="N65" s="80"/>
      <c r="O65" s="80"/>
    </row>
    <row r="66" spans="1:15" ht="11.25" hidden="1">
      <c r="A66" s="17" t="s">
        <v>530</v>
      </c>
      <c r="B66" s="17" t="s">
        <v>75</v>
      </c>
      <c r="C66" s="16" t="s">
        <v>76</v>
      </c>
      <c r="D66" s="19" t="s">
        <v>15</v>
      </c>
      <c r="E66" s="19" t="s">
        <v>0</v>
      </c>
      <c r="F66" s="16" t="s">
        <v>307</v>
      </c>
      <c r="G66" s="19" t="s">
        <v>308</v>
      </c>
      <c r="H66" s="14" t="s">
        <v>39</v>
      </c>
      <c r="I66" s="14">
        <v>45996</v>
      </c>
      <c r="J66" s="14"/>
      <c r="K66" s="14"/>
      <c r="L66" s="38" t="s">
        <v>37</v>
      </c>
      <c r="M66" s="18"/>
      <c r="N66" s="80"/>
      <c r="O66" s="80"/>
    </row>
    <row r="67" spans="1:15" ht="22.5" hidden="1">
      <c r="A67" s="17" t="s">
        <v>531</v>
      </c>
      <c r="B67" s="17" t="s">
        <v>79</v>
      </c>
      <c r="C67" s="16" t="s">
        <v>77</v>
      </c>
      <c r="D67" s="19" t="s">
        <v>15</v>
      </c>
      <c r="E67" s="19" t="s">
        <v>0</v>
      </c>
      <c r="F67" s="16" t="s">
        <v>304</v>
      </c>
      <c r="G67" s="19" t="s">
        <v>305</v>
      </c>
      <c r="H67" s="27" t="s">
        <v>39</v>
      </c>
      <c r="I67" s="27">
        <v>45975</v>
      </c>
      <c r="J67" s="27"/>
      <c r="K67" s="27"/>
      <c r="L67" s="40" t="s">
        <v>37</v>
      </c>
      <c r="M67" s="18"/>
      <c r="N67" s="80"/>
      <c r="O67" s="80"/>
    </row>
    <row r="68" spans="1:15" ht="11.25" hidden="1">
      <c r="A68" s="17" t="s">
        <v>531</v>
      </c>
      <c r="B68" s="17" t="s">
        <v>79</v>
      </c>
      <c r="C68" s="16" t="s">
        <v>77</v>
      </c>
      <c r="D68" s="19" t="s">
        <v>15</v>
      </c>
      <c r="E68" s="19" t="s">
        <v>0</v>
      </c>
      <c r="F68" s="16" t="s">
        <v>306</v>
      </c>
      <c r="G68" s="19" t="s">
        <v>15</v>
      </c>
      <c r="H68" s="27">
        <v>45978</v>
      </c>
      <c r="I68" s="27">
        <v>45982</v>
      </c>
      <c r="J68" s="27"/>
      <c r="K68" s="27"/>
      <c r="L68" s="40" t="s">
        <v>37</v>
      </c>
      <c r="M68" s="18"/>
      <c r="N68" s="80"/>
      <c r="O68" s="80"/>
    </row>
    <row r="69" spans="1:15" ht="11.25" hidden="1">
      <c r="A69" s="17" t="s">
        <v>531</v>
      </c>
      <c r="B69" s="17" t="s">
        <v>79</v>
      </c>
      <c r="C69" s="16" t="s">
        <v>77</v>
      </c>
      <c r="D69" s="19" t="s">
        <v>15</v>
      </c>
      <c r="E69" s="19" t="s">
        <v>0</v>
      </c>
      <c r="F69" s="16" t="s">
        <v>48</v>
      </c>
      <c r="G69" s="19" t="s">
        <v>15</v>
      </c>
      <c r="H69" s="14">
        <v>45971</v>
      </c>
      <c r="I69" s="14">
        <v>45975</v>
      </c>
      <c r="J69" s="14"/>
      <c r="K69" s="14"/>
      <c r="L69" s="38" t="s">
        <v>37</v>
      </c>
      <c r="M69" s="18"/>
      <c r="N69" s="80"/>
      <c r="O69" s="80"/>
    </row>
    <row r="70" spans="1:15" ht="11.25" hidden="1">
      <c r="A70" s="17" t="s">
        <v>532</v>
      </c>
      <c r="B70" s="17" t="s">
        <v>82</v>
      </c>
      <c r="C70" s="16" t="s">
        <v>83</v>
      </c>
      <c r="D70" s="19" t="s">
        <v>15</v>
      </c>
      <c r="E70" s="19" t="s">
        <v>0</v>
      </c>
      <c r="F70" s="16" t="s">
        <v>51</v>
      </c>
      <c r="G70" s="19" t="s">
        <v>15</v>
      </c>
      <c r="H70" s="14" t="s">
        <v>39</v>
      </c>
      <c r="I70" s="14">
        <v>45972</v>
      </c>
      <c r="J70" s="14"/>
      <c r="K70" s="14"/>
      <c r="L70" s="38" t="s">
        <v>37</v>
      </c>
      <c r="M70" s="18"/>
      <c r="N70" s="80"/>
      <c r="O70" s="80"/>
    </row>
    <row r="71" spans="1:15" ht="44.25" hidden="1" customHeight="1">
      <c r="A71" s="17" t="s">
        <v>532</v>
      </c>
      <c r="B71" s="17" t="s">
        <v>82</v>
      </c>
      <c r="C71" s="16" t="s">
        <v>83</v>
      </c>
      <c r="D71" s="19" t="s">
        <v>15</v>
      </c>
      <c r="E71" s="19" t="s">
        <v>312</v>
      </c>
      <c r="F71" s="16" t="s">
        <v>53</v>
      </c>
      <c r="G71" s="19" t="s">
        <v>54</v>
      </c>
      <c r="H71" s="14">
        <v>45967</v>
      </c>
      <c r="I71" s="14">
        <v>45975</v>
      </c>
      <c r="J71" s="14"/>
      <c r="K71" s="14"/>
      <c r="L71" s="38" t="s">
        <v>37</v>
      </c>
      <c r="M71" s="18"/>
      <c r="N71" s="80"/>
      <c r="O71" s="80"/>
    </row>
    <row r="72" spans="1:15" ht="11.25" hidden="1">
      <c r="A72" s="17" t="s">
        <v>532</v>
      </c>
      <c r="B72" s="17" t="s">
        <v>82</v>
      </c>
      <c r="C72" s="16" t="s">
        <v>83</v>
      </c>
      <c r="D72" s="19" t="s">
        <v>15</v>
      </c>
      <c r="E72" s="19" t="s">
        <v>0</v>
      </c>
      <c r="F72" s="16" t="s">
        <v>55</v>
      </c>
      <c r="G72" s="19" t="s">
        <v>15</v>
      </c>
      <c r="H72" s="14" t="s">
        <v>39</v>
      </c>
      <c r="I72" s="14">
        <v>45975</v>
      </c>
      <c r="J72" s="14"/>
      <c r="K72" s="14"/>
      <c r="L72" s="38" t="s">
        <v>37</v>
      </c>
      <c r="M72" s="18"/>
      <c r="N72" s="80"/>
      <c r="O72" s="80"/>
    </row>
    <row r="73" spans="1:15" ht="11.25">
      <c r="A73" s="17" t="s">
        <v>532</v>
      </c>
      <c r="B73" s="17" t="s">
        <v>82</v>
      </c>
      <c r="C73" s="16" t="s">
        <v>83</v>
      </c>
      <c r="D73" s="19" t="s">
        <v>15</v>
      </c>
      <c r="E73" s="19" t="s">
        <v>0</v>
      </c>
      <c r="F73" s="16" t="s">
        <v>315</v>
      </c>
      <c r="G73" s="19" t="s">
        <v>15</v>
      </c>
      <c r="H73" s="14" t="s">
        <v>39</v>
      </c>
      <c r="I73" s="14">
        <v>45986</v>
      </c>
      <c r="J73" s="14"/>
      <c r="K73" s="14"/>
      <c r="L73" s="38" t="s">
        <v>316</v>
      </c>
      <c r="M73" s="18" t="s">
        <v>317</v>
      </c>
      <c r="N73" s="80"/>
      <c r="O73" s="80"/>
    </row>
    <row r="74" spans="1:15" ht="45">
      <c r="A74" s="17" t="s">
        <v>532</v>
      </c>
      <c r="B74" s="17" t="s">
        <v>82</v>
      </c>
      <c r="C74" s="16" t="s">
        <v>83</v>
      </c>
      <c r="D74" s="19" t="s">
        <v>15</v>
      </c>
      <c r="E74" s="19" t="s">
        <v>0</v>
      </c>
      <c r="F74" s="16" t="s">
        <v>314</v>
      </c>
      <c r="G74" s="19" t="s">
        <v>15</v>
      </c>
      <c r="H74" s="14" t="s">
        <v>39</v>
      </c>
      <c r="I74" s="14">
        <v>45982</v>
      </c>
      <c r="J74" s="14"/>
      <c r="K74" s="15"/>
      <c r="L74" s="38" t="s">
        <v>6</v>
      </c>
      <c r="M74" s="18" t="s">
        <v>495</v>
      </c>
      <c r="N74" s="80"/>
      <c r="O74" s="80"/>
    </row>
    <row r="75" spans="1:15" ht="33.75">
      <c r="A75" s="17" t="s">
        <v>532</v>
      </c>
      <c r="B75" s="17" t="s">
        <v>82</v>
      </c>
      <c r="C75" s="16" t="s">
        <v>83</v>
      </c>
      <c r="D75" s="19" t="s">
        <v>15</v>
      </c>
      <c r="E75" s="19" t="s">
        <v>0</v>
      </c>
      <c r="F75" s="16" t="s">
        <v>318</v>
      </c>
      <c r="G75" s="19" t="s">
        <v>295</v>
      </c>
      <c r="H75" s="14" t="s">
        <v>39</v>
      </c>
      <c r="I75" s="14">
        <v>45966</v>
      </c>
      <c r="J75" s="14"/>
      <c r="K75" s="15"/>
      <c r="L75" s="38" t="s">
        <v>6</v>
      </c>
      <c r="M75" s="18" t="s">
        <v>496</v>
      </c>
      <c r="N75" s="80"/>
      <c r="O75" s="80"/>
    </row>
    <row r="76" spans="1:15" ht="11.25" hidden="1">
      <c r="A76" s="17" t="s">
        <v>532</v>
      </c>
      <c r="B76" s="17" t="s">
        <v>82</v>
      </c>
      <c r="C76" s="16" t="s">
        <v>83</v>
      </c>
      <c r="D76" s="19" t="s">
        <v>15</v>
      </c>
      <c r="E76" s="19" t="s">
        <v>0</v>
      </c>
      <c r="F76" s="16" t="s">
        <v>52</v>
      </c>
      <c r="G76" s="19" t="s">
        <v>15</v>
      </c>
      <c r="H76" s="14" t="s">
        <v>39</v>
      </c>
      <c r="I76" s="14">
        <v>46038</v>
      </c>
      <c r="J76" s="14"/>
      <c r="K76" s="14"/>
      <c r="L76" s="38" t="s">
        <v>37</v>
      </c>
      <c r="M76" s="18" t="s">
        <v>374</v>
      </c>
      <c r="N76" s="80"/>
      <c r="O76" s="80"/>
    </row>
    <row r="77" spans="1:15" ht="22.5" hidden="1">
      <c r="A77" s="17" t="s">
        <v>537</v>
      </c>
      <c r="B77" s="17" t="s">
        <v>128</v>
      </c>
      <c r="C77" s="16" t="s">
        <v>356</v>
      </c>
      <c r="D77" s="19" t="s">
        <v>123</v>
      </c>
      <c r="E77" s="19" t="s">
        <v>351</v>
      </c>
      <c r="F77" s="16" t="s">
        <v>357</v>
      </c>
      <c r="G77" s="19" t="s">
        <v>262</v>
      </c>
      <c r="H77" s="27">
        <v>45982</v>
      </c>
      <c r="I77" s="27">
        <v>45987</v>
      </c>
      <c r="J77" s="27"/>
      <c r="K77" s="15"/>
      <c r="L77" s="40" t="s">
        <v>6</v>
      </c>
      <c r="M77" s="32" t="s">
        <v>358</v>
      </c>
      <c r="N77" s="80"/>
      <c r="O77" s="80"/>
    </row>
    <row r="78" spans="1:15" ht="22.5" hidden="1">
      <c r="A78" s="17" t="s">
        <v>537</v>
      </c>
      <c r="B78" s="17" t="s">
        <v>128</v>
      </c>
      <c r="C78" s="16" t="s">
        <v>356</v>
      </c>
      <c r="D78" s="19" t="s">
        <v>123</v>
      </c>
      <c r="E78" s="19" t="s">
        <v>0</v>
      </c>
      <c r="F78" s="16" t="s">
        <v>359</v>
      </c>
      <c r="G78" s="19" t="s">
        <v>262</v>
      </c>
      <c r="H78" s="15" t="s">
        <v>39</v>
      </c>
      <c r="I78" s="27" t="s">
        <v>39</v>
      </c>
      <c r="J78" s="27"/>
      <c r="K78" s="15"/>
      <c r="L78" s="40" t="s">
        <v>6</v>
      </c>
      <c r="M78" s="32" t="s">
        <v>360</v>
      </c>
      <c r="N78" s="80"/>
      <c r="O78" s="80"/>
    </row>
    <row r="79" spans="1:15" ht="22.5" hidden="1">
      <c r="A79" s="17" t="s">
        <v>537</v>
      </c>
      <c r="B79" s="17" t="s">
        <v>128</v>
      </c>
      <c r="C79" s="16" t="s">
        <v>260</v>
      </c>
      <c r="D79" s="19" t="s">
        <v>123</v>
      </c>
      <c r="E79" s="19" t="s">
        <v>351</v>
      </c>
      <c r="F79" s="16" t="s">
        <v>261</v>
      </c>
      <c r="G79" s="19" t="s">
        <v>262</v>
      </c>
      <c r="H79" s="15" t="s">
        <v>39</v>
      </c>
      <c r="I79" s="27">
        <v>45982</v>
      </c>
      <c r="J79" s="27"/>
      <c r="K79" s="27"/>
      <c r="L79" s="40" t="s">
        <v>37</v>
      </c>
      <c r="M79" s="32" t="s">
        <v>352</v>
      </c>
      <c r="N79" s="80"/>
      <c r="O79" s="80"/>
    </row>
    <row r="80" spans="1:15" ht="11.25" hidden="1">
      <c r="A80" s="17" t="s">
        <v>537</v>
      </c>
      <c r="B80" s="17" t="s">
        <v>128</v>
      </c>
      <c r="C80" s="16" t="s">
        <v>260</v>
      </c>
      <c r="D80" s="19" t="s">
        <v>123</v>
      </c>
      <c r="E80" s="19" t="s">
        <v>351</v>
      </c>
      <c r="F80" s="16" t="s">
        <v>266</v>
      </c>
      <c r="G80" s="19" t="s">
        <v>262</v>
      </c>
      <c r="H80" s="27">
        <v>45958</v>
      </c>
      <c r="I80" s="27">
        <v>45974</v>
      </c>
      <c r="J80" s="27"/>
      <c r="K80" s="27"/>
      <c r="L80" s="40" t="s">
        <v>37</v>
      </c>
      <c r="M80" s="32" t="s">
        <v>353</v>
      </c>
      <c r="N80" s="80"/>
      <c r="O80" s="80"/>
    </row>
    <row r="81" spans="1:15" ht="11.25" hidden="1">
      <c r="A81" s="17" t="s">
        <v>537</v>
      </c>
      <c r="B81" s="17" t="s">
        <v>128</v>
      </c>
      <c r="C81" s="16" t="s">
        <v>260</v>
      </c>
      <c r="D81" s="19" t="s">
        <v>123</v>
      </c>
      <c r="E81" s="19" t="s">
        <v>351</v>
      </c>
      <c r="F81" s="16" t="s">
        <v>267</v>
      </c>
      <c r="G81" s="19" t="s">
        <v>262</v>
      </c>
      <c r="H81" s="27">
        <v>45902</v>
      </c>
      <c r="I81" s="27">
        <v>45982</v>
      </c>
      <c r="J81" s="27"/>
      <c r="K81" s="27"/>
      <c r="L81" s="40" t="s">
        <v>37</v>
      </c>
      <c r="M81" s="32" t="s">
        <v>39</v>
      </c>
      <c r="N81" s="80"/>
      <c r="O81" s="80"/>
    </row>
    <row r="82" spans="1:15" ht="11.25" hidden="1">
      <c r="A82" s="17" t="s">
        <v>537</v>
      </c>
      <c r="B82" s="17" t="s">
        <v>128</v>
      </c>
      <c r="C82" s="16" t="s">
        <v>260</v>
      </c>
      <c r="D82" s="19" t="s">
        <v>123</v>
      </c>
      <c r="E82" s="19" t="s">
        <v>351</v>
      </c>
      <c r="F82" s="16" t="s">
        <v>268</v>
      </c>
      <c r="G82" s="19" t="s">
        <v>262</v>
      </c>
      <c r="H82" s="27">
        <v>45973</v>
      </c>
      <c r="I82" s="27">
        <v>45975</v>
      </c>
      <c r="J82" s="27"/>
      <c r="K82" s="27"/>
      <c r="L82" s="40" t="s">
        <v>37</v>
      </c>
      <c r="M82" s="32" t="s">
        <v>354</v>
      </c>
      <c r="N82" s="80"/>
      <c r="O82" s="80"/>
    </row>
    <row r="83" spans="1:15" ht="11.25" hidden="1">
      <c r="A83" s="17" t="s">
        <v>537</v>
      </c>
      <c r="B83" s="17" t="s">
        <v>128</v>
      </c>
      <c r="C83" s="16" t="s">
        <v>260</v>
      </c>
      <c r="D83" s="19" t="s">
        <v>123</v>
      </c>
      <c r="E83" s="19" t="s">
        <v>351</v>
      </c>
      <c r="F83" s="16" t="s">
        <v>355</v>
      </c>
      <c r="G83" s="19" t="s">
        <v>262</v>
      </c>
      <c r="H83" s="15" t="s">
        <v>39</v>
      </c>
      <c r="I83" s="27">
        <v>45996</v>
      </c>
      <c r="J83" s="27"/>
      <c r="K83" s="27"/>
      <c r="L83" s="40" t="s">
        <v>37</v>
      </c>
      <c r="M83" s="32" t="s">
        <v>379</v>
      </c>
      <c r="N83" s="80"/>
      <c r="O83" s="80"/>
    </row>
    <row r="84" spans="1:15" ht="22.5" hidden="1">
      <c r="A84" s="17" t="s">
        <v>537</v>
      </c>
      <c r="B84" s="17" t="s">
        <v>128</v>
      </c>
      <c r="C84" s="16" t="s">
        <v>260</v>
      </c>
      <c r="D84" s="19" t="s">
        <v>123</v>
      </c>
      <c r="E84" s="19" t="s">
        <v>351</v>
      </c>
      <c r="F84" s="16" t="s">
        <v>269</v>
      </c>
      <c r="G84" s="19" t="s">
        <v>262</v>
      </c>
      <c r="H84" s="15" t="s">
        <v>39</v>
      </c>
      <c r="I84" s="27">
        <v>45982</v>
      </c>
      <c r="J84" s="27"/>
      <c r="K84" s="15"/>
      <c r="L84" s="40" t="s">
        <v>6</v>
      </c>
      <c r="M84" s="32" t="s">
        <v>270</v>
      </c>
      <c r="N84" s="80"/>
      <c r="O84" s="80"/>
    </row>
    <row r="85" spans="1:15" ht="22.5" hidden="1">
      <c r="A85" s="17" t="s">
        <v>537</v>
      </c>
      <c r="B85" s="17" t="s">
        <v>128</v>
      </c>
      <c r="C85" s="16" t="s">
        <v>260</v>
      </c>
      <c r="D85" s="19" t="s">
        <v>123</v>
      </c>
      <c r="E85" s="19" t="s">
        <v>351</v>
      </c>
      <c r="F85" s="16" t="s">
        <v>263</v>
      </c>
      <c r="G85" s="19" t="s">
        <v>264</v>
      </c>
      <c r="H85" s="27">
        <v>45964</v>
      </c>
      <c r="I85" s="15" t="s">
        <v>39</v>
      </c>
      <c r="J85" s="15"/>
      <c r="K85" s="15"/>
      <c r="L85" s="40" t="s">
        <v>42</v>
      </c>
      <c r="M85" s="32" t="s">
        <v>265</v>
      </c>
      <c r="N85" s="80"/>
      <c r="O85" s="80"/>
    </row>
    <row r="86" spans="1:15" ht="22.5" hidden="1">
      <c r="A86" s="17" t="s">
        <v>539</v>
      </c>
      <c r="B86" s="17" t="s">
        <v>136</v>
      </c>
      <c r="C86" s="16" t="s">
        <v>122</v>
      </c>
      <c r="D86" s="19" t="s">
        <v>123</v>
      </c>
      <c r="E86" s="19" t="s">
        <v>0</v>
      </c>
      <c r="F86" s="16" t="s">
        <v>366</v>
      </c>
      <c r="G86" s="19" t="s">
        <v>272</v>
      </c>
      <c r="H86" s="27">
        <v>45979</v>
      </c>
      <c r="I86" s="27">
        <v>45987</v>
      </c>
      <c r="J86" s="27"/>
      <c r="K86" s="15"/>
      <c r="L86" s="40" t="s">
        <v>6</v>
      </c>
      <c r="M86" s="32" t="s">
        <v>384</v>
      </c>
      <c r="N86" s="80"/>
      <c r="O86" s="80"/>
    </row>
    <row r="87" spans="1:15" ht="22.5" hidden="1">
      <c r="A87" s="17" t="s">
        <v>539</v>
      </c>
      <c r="B87" s="17" t="s">
        <v>136</v>
      </c>
      <c r="C87" s="16" t="s">
        <v>122</v>
      </c>
      <c r="D87" s="19" t="s">
        <v>123</v>
      </c>
      <c r="E87" s="19" t="s">
        <v>0</v>
      </c>
      <c r="F87" s="16" t="s">
        <v>367</v>
      </c>
      <c r="G87" s="19" t="s">
        <v>272</v>
      </c>
      <c r="H87" s="27">
        <v>45979</v>
      </c>
      <c r="I87" s="27">
        <v>45987</v>
      </c>
      <c r="J87" s="27"/>
      <c r="K87" s="15"/>
      <c r="L87" s="40" t="s">
        <v>6</v>
      </c>
      <c r="M87" s="32" t="s">
        <v>384</v>
      </c>
      <c r="N87" s="80"/>
      <c r="O87" s="80"/>
    </row>
    <row r="88" spans="1:15" ht="22.5" hidden="1">
      <c r="A88" s="17" t="s">
        <v>539</v>
      </c>
      <c r="B88" s="17" t="s">
        <v>136</v>
      </c>
      <c r="C88" s="16" t="s">
        <v>122</v>
      </c>
      <c r="D88" s="19" t="s">
        <v>123</v>
      </c>
      <c r="E88" s="19" t="s">
        <v>0</v>
      </c>
      <c r="F88" s="16" t="s">
        <v>368</v>
      </c>
      <c r="G88" s="19" t="s">
        <v>272</v>
      </c>
      <c r="H88" s="27">
        <v>45979</v>
      </c>
      <c r="I88" s="27">
        <v>45987</v>
      </c>
      <c r="J88" s="27"/>
      <c r="K88" s="15"/>
      <c r="L88" s="40" t="s">
        <v>6</v>
      </c>
      <c r="M88" s="32" t="s">
        <v>384</v>
      </c>
      <c r="N88" s="80"/>
      <c r="O88" s="80"/>
    </row>
    <row r="89" spans="1:15" ht="90" hidden="1">
      <c r="A89" s="17" t="s">
        <v>540</v>
      </c>
      <c r="B89" s="17" t="s">
        <v>132</v>
      </c>
      <c r="C89" s="16" t="s">
        <v>249</v>
      </c>
      <c r="D89" s="19" t="s">
        <v>123</v>
      </c>
      <c r="E89" s="19" t="s">
        <v>0</v>
      </c>
      <c r="F89" s="16" t="s">
        <v>250</v>
      </c>
      <c r="G89" s="19" t="s">
        <v>245</v>
      </c>
      <c r="H89" s="15" t="s">
        <v>39</v>
      </c>
      <c r="I89" s="15" t="s">
        <v>39</v>
      </c>
      <c r="J89" s="15"/>
      <c r="K89" s="15"/>
      <c r="L89" s="40" t="s">
        <v>6</v>
      </c>
      <c r="M89" s="32" t="s">
        <v>377</v>
      </c>
      <c r="N89" s="80"/>
      <c r="O89" s="80"/>
    </row>
    <row r="90" spans="1:15" ht="45" hidden="1">
      <c r="A90" s="17" t="s">
        <v>541</v>
      </c>
      <c r="B90" s="17" t="s">
        <v>130</v>
      </c>
      <c r="C90" s="16" t="s">
        <v>251</v>
      </c>
      <c r="D90" s="19" t="s">
        <v>123</v>
      </c>
      <c r="E90" s="19" t="s">
        <v>0</v>
      </c>
      <c r="F90" s="16" t="s">
        <v>252</v>
      </c>
      <c r="G90" s="19" t="s">
        <v>245</v>
      </c>
      <c r="H90" s="27">
        <v>45950</v>
      </c>
      <c r="I90" s="27">
        <v>45959</v>
      </c>
      <c r="J90" s="27"/>
      <c r="K90" s="27"/>
      <c r="L90" s="40" t="s">
        <v>37</v>
      </c>
      <c r="M90" s="32" t="s">
        <v>350</v>
      </c>
      <c r="N90" s="80"/>
      <c r="O90" s="80"/>
    </row>
    <row r="91" spans="1:15" ht="22.5" hidden="1">
      <c r="A91" s="17" t="s">
        <v>542</v>
      </c>
      <c r="B91" s="17" t="s">
        <v>135</v>
      </c>
      <c r="C91" s="16" t="s">
        <v>271</v>
      </c>
      <c r="D91" s="19" t="s">
        <v>123</v>
      </c>
      <c r="E91" s="19" t="s">
        <v>0</v>
      </c>
      <c r="F91" s="16" t="s">
        <v>361</v>
      </c>
      <c r="G91" s="19" t="s">
        <v>272</v>
      </c>
      <c r="H91" s="27">
        <v>45964</v>
      </c>
      <c r="I91" s="27">
        <v>45975</v>
      </c>
      <c r="J91" s="27"/>
      <c r="K91" s="27"/>
      <c r="L91" s="40" t="s">
        <v>37</v>
      </c>
      <c r="M91" s="32" t="s">
        <v>362</v>
      </c>
      <c r="N91" s="80"/>
      <c r="O91" s="80"/>
    </row>
    <row r="92" spans="1:15" ht="22.5" hidden="1">
      <c r="A92" s="17" t="s">
        <v>542</v>
      </c>
      <c r="B92" s="17" t="s">
        <v>135</v>
      </c>
      <c r="C92" s="16" t="s">
        <v>271</v>
      </c>
      <c r="D92" s="19" t="s">
        <v>123</v>
      </c>
      <c r="E92" s="19" t="s">
        <v>0</v>
      </c>
      <c r="F92" s="16" t="s">
        <v>363</v>
      </c>
      <c r="G92" s="19" t="s">
        <v>272</v>
      </c>
      <c r="H92" s="27">
        <v>45982</v>
      </c>
      <c r="I92" s="27">
        <v>45988</v>
      </c>
      <c r="J92" s="27"/>
      <c r="K92" s="15"/>
      <c r="L92" s="40" t="s">
        <v>6</v>
      </c>
      <c r="M92" s="32" t="s">
        <v>381</v>
      </c>
      <c r="N92" s="80"/>
      <c r="O92" s="80"/>
    </row>
    <row r="93" spans="1:15" ht="22.5" hidden="1">
      <c r="A93" s="17" t="s">
        <v>542</v>
      </c>
      <c r="B93" s="17" t="s">
        <v>135</v>
      </c>
      <c r="C93" s="16" t="s">
        <v>271</v>
      </c>
      <c r="D93" s="19" t="s">
        <v>123</v>
      </c>
      <c r="E93" s="19" t="s">
        <v>0</v>
      </c>
      <c r="F93" s="16" t="s">
        <v>364</v>
      </c>
      <c r="G93" s="19" t="s">
        <v>272</v>
      </c>
      <c r="H93" s="27">
        <v>45986</v>
      </c>
      <c r="I93" s="27">
        <v>45993</v>
      </c>
      <c r="J93" s="27"/>
      <c r="K93" s="15"/>
      <c r="L93" s="40" t="s">
        <v>6</v>
      </c>
      <c r="M93" s="32" t="s">
        <v>380</v>
      </c>
      <c r="N93" s="80"/>
      <c r="O93" s="80"/>
    </row>
    <row r="94" spans="1:15" ht="22.5" hidden="1">
      <c r="A94" s="17" t="s">
        <v>542</v>
      </c>
      <c r="B94" s="17" t="s">
        <v>135</v>
      </c>
      <c r="C94" s="16" t="s">
        <v>271</v>
      </c>
      <c r="D94" s="19" t="s">
        <v>123</v>
      </c>
      <c r="E94" s="19" t="s">
        <v>0</v>
      </c>
      <c r="F94" s="16" t="s">
        <v>273</v>
      </c>
      <c r="G94" s="19" t="s">
        <v>123</v>
      </c>
      <c r="H94" s="15" t="s">
        <v>39</v>
      </c>
      <c r="I94" s="15" t="s">
        <v>39</v>
      </c>
      <c r="J94" s="15"/>
      <c r="K94" s="15"/>
      <c r="L94" s="40" t="s">
        <v>6</v>
      </c>
      <c r="M94" s="32" t="s">
        <v>382</v>
      </c>
      <c r="N94" s="80"/>
      <c r="O94" s="80"/>
    </row>
    <row r="95" spans="1:15" ht="11.25" hidden="1">
      <c r="A95" s="17" t="s">
        <v>542</v>
      </c>
      <c r="B95" s="17" t="s">
        <v>135</v>
      </c>
      <c r="C95" s="16" t="s">
        <v>271</v>
      </c>
      <c r="D95" s="19" t="s">
        <v>123</v>
      </c>
      <c r="E95" s="19" t="s">
        <v>0</v>
      </c>
      <c r="F95" s="16" t="s">
        <v>274</v>
      </c>
      <c r="G95" s="19" t="s">
        <v>123</v>
      </c>
      <c r="H95" s="15" t="s">
        <v>39</v>
      </c>
      <c r="I95" s="15" t="s">
        <v>39</v>
      </c>
      <c r="J95" s="15"/>
      <c r="K95" s="15"/>
      <c r="L95" s="40" t="s">
        <v>316</v>
      </c>
      <c r="M95" s="32" t="s">
        <v>39</v>
      </c>
      <c r="N95" s="80"/>
      <c r="O95" s="80"/>
    </row>
    <row r="96" spans="1:15" ht="11.25" hidden="1">
      <c r="A96" s="17" t="s">
        <v>542</v>
      </c>
      <c r="B96" s="17" t="s">
        <v>135</v>
      </c>
      <c r="C96" s="16" t="s">
        <v>271</v>
      </c>
      <c r="D96" s="19" t="s">
        <v>123</v>
      </c>
      <c r="E96" s="19" t="s">
        <v>0</v>
      </c>
      <c r="F96" s="16" t="s">
        <v>275</v>
      </c>
      <c r="G96" s="19" t="s">
        <v>123</v>
      </c>
      <c r="H96" s="15" t="s">
        <v>39</v>
      </c>
      <c r="I96" s="15" t="s">
        <v>39</v>
      </c>
      <c r="J96" s="15"/>
      <c r="K96" s="15"/>
      <c r="L96" s="40" t="s">
        <v>37</v>
      </c>
      <c r="M96" s="32" t="s">
        <v>39</v>
      </c>
      <c r="N96" s="80"/>
      <c r="O96" s="80"/>
    </row>
    <row r="97" spans="1:15" ht="22.5" hidden="1">
      <c r="A97" s="17" t="s">
        <v>542</v>
      </c>
      <c r="B97" s="17" t="s">
        <v>135</v>
      </c>
      <c r="C97" s="16" t="s">
        <v>271</v>
      </c>
      <c r="D97" s="19" t="s">
        <v>123</v>
      </c>
      <c r="E97" s="19" t="s">
        <v>0</v>
      </c>
      <c r="F97" s="16" t="s">
        <v>365</v>
      </c>
      <c r="G97" s="19" t="s">
        <v>272</v>
      </c>
      <c r="H97" s="27">
        <v>45986</v>
      </c>
      <c r="I97" s="27">
        <v>45993</v>
      </c>
      <c r="J97" s="27"/>
      <c r="K97" s="15"/>
      <c r="L97" s="40" t="s">
        <v>42</v>
      </c>
      <c r="M97" s="32" t="s">
        <v>380</v>
      </c>
      <c r="N97" s="80"/>
      <c r="O97" s="80"/>
    </row>
    <row r="98" spans="1:15" ht="11.25" hidden="1">
      <c r="A98" s="17" t="s">
        <v>543</v>
      </c>
      <c r="B98" s="17" t="s">
        <v>127</v>
      </c>
      <c r="C98" s="16" t="s">
        <v>278</v>
      </c>
      <c r="D98" s="19" t="s">
        <v>123</v>
      </c>
      <c r="E98" s="19" t="s">
        <v>0</v>
      </c>
      <c r="F98" s="16" t="s">
        <v>280</v>
      </c>
      <c r="G98" s="19" t="s">
        <v>67</v>
      </c>
      <c r="H98" s="15" t="s">
        <v>39</v>
      </c>
      <c r="I98" s="15" t="s">
        <v>39</v>
      </c>
      <c r="J98" s="15"/>
      <c r="K98" s="15"/>
      <c r="L98" s="40" t="s">
        <v>316</v>
      </c>
      <c r="M98" s="32" t="s">
        <v>383</v>
      </c>
      <c r="N98" s="80"/>
      <c r="O98" s="80"/>
    </row>
    <row r="99" spans="1:15" ht="11.25" hidden="1">
      <c r="A99" s="17" t="s">
        <v>543</v>
      </c>
      <c r="B99" s="17" t="s">
        <v>127</v>
      </c>
      <c r="C99" s="16" t="s">
        <v>278</v>
      </c>
      <c r="D99" s="19" t="s">
        <v>123</v>
      </c>
      <c r="E99" s="19" t="s">
        <v>0</v>
      </c>
      <c r="F99" s="16" t="s">
        <v>279</v>
      </c>
      <c r="G99" s="19" t="s">
        <v>272</v>
      </c>
      <c r="H99" s="15" t="s">
        <v>39</v>
      </c>
      <c r="I99" s="15" t="s">
        <v>39</v>
      </c>
      <c r="J99" s="15"/>
      <c r="K99" s="15"/>
      <c r="L99" s="40" t="s">
        <v>37</v>
      </c>
      <c r="M99" s="32" t="s">
        <v>39</v>
      </c>
      <c r="N99" s="80"/>
      <c r="O99" s="80"/>
    </row>
    <row r="100" spans="1:15" ht="11.25" hidden="1">
      <c r="A100" s="17" t="s">
        <v>544</v>
      </c>
      <c r="B100" s="17" t="s">
        <v>228</v>
      </c>
      <c r="C100" s="16" t="s">
        <v>241</v>
      </c>
      <c r="D100" s="19" t="s">
        <v>123</v>
      </c>
      <c r="E100" s="19" t="s">
        <v>0</v>
      </c>
      <c r="F100" s="16" t="s">
        <v>334</v>
      </c>
      <c r="G100" s="19" t="s">
        <v>123</v>
      </c>
      <c r="H100" s="27">
        <v>45967</v>
      </c>
      <c r="I100" s="15" t="s">
        <v>39</v>
      </c>
      <c r="J100" s="15"/>
      <c r="K100" s="15"/>
      <c r="L100" s="38" t="s">
        <v>6</v>
      </c>
      <c r="M100" s="32" t="s">
        <v>39</v>
      </c>
      <c r="N100" s="80"/>
      <c r="O100" s="80"/>
    </row>
    <row r="101" spans="1:15" ht="11.25" hidden="1">
      <c r="A101" s="17" t="s">
        <v>544</v>
      </c>
      <c r="B101" s="17" t="s">
        <v>228</v>
      </c>
      <c r="C101" s="16" t="s">
        <v>241</v>
      </c>
      <c r="D101" s="19" t="s">
        <v>123</v>
      </c>
      <c r="E101" s="19" t="s">
        <v>0</v>
      </c>
      <c r="F101" s="16" t="s">
        <v>243</v>
      </c>
      <c r="G101" s="19" t="s">
        <v>123</v>
      </c>
      <c r="H101" s="27" t="s">
        <v>39</v>
      </c>
      <c r="I101" s="15" t="s">
        <v>39</v>
      </c>
      <c r="J101" s="15"/>
      <c r="K101" s="15"/>
      <c r="L101" s="38" t="s">
        <v>37</v>
      </c>
      <c r="M101" s="32" t="s">
        <v>39</v>
      </c>
      <c r="N101" s="80"/>
      <c r="O101" s="80"/>
    </row>
    <row r="102" spans="1:15" ht="22.5" hidden="1">
      <c r="A102" s="17" t="s">
        <v>545</v>
      </c>
      <c r="B102" s="17" t="s">
        <v>129</v>
      </c>
      <c r="C102" s="16" t="s">
        <v>276</v>
      </c>
      <c r="D102" s="19" t="s">
        <v>123</v>
      </c>
      <c r="E102" s="19" t="s">
        <v>0</v>
      </c>
      <c r="F102" s="16" t="s">
        <v>277</v>
      </c>
      <c r="G102" s="19" t="s">
        <v>272</v>
      </c>
      <c r="H102" s="27">
        <v>45973</v>
      </c>
      <c r="I102" s="27">
        <v>45979</v>
      </c>
      <c r="J102" s="27"/>
      <c r="K102" s="27"/>
      <c r="L102" s="40" t="s">
        <v>37</v>
      </c>
      <c r="M102" s="32" t="s">
        <v>39</v>
      </c>
      <c r="N102" s="80"/>
      <c r="O102" s="80"/>
    </row>
    <row r="103" spans="1:15" ht="11.25" hidden="1">
      <c r="A103" s="17" t="s">
        <v>545</v>
      </c>
      <c r="B103" s="17" t="s">
        <v>129</v>
      </c>
      <c r="C103" s="16" t="s">
        <v>276</v>
      </c>
      <c r="D103" s="19" t="s">
        <v>123</v>
      </c>
      <c r="E103" s="19" t="s">
        <v>0</v>
      </c>
      <c r="F103" s="16" t="s">
        <v>275</v>
      </c>
      <c r="G103" s="19" t="s">
        <v>123</v>
      </c>
      <c r="H103" s="15" t="s">
        <v>39</v>
      </c>
      <c r="I103" s="15" t="s">
        <v>39</v>
      </c>
      <c r="J103" s="15"/>
      <c r="K103" s="15"/>
      <c r="L103" s="40" t="s">
        <v>37</v>
      </c>
      <c r="M103" s="32" t="s">
        <v>39</v>
      </c>
      <c r="N103" s="80"/>
      <c r="O103" s="80"/>
    </row>
    <row r="104" spans="1:15" ht="11.25" hidden="1">
      <c r="A104" s="17" t="s">
        <v>545</v>
      </c>
      <c r="B104" s="17" t="s">
        <v>129</v>
      </c>
      <c r="C104" s="16" t="s">
        <v>276</v>
      </c>
      <c r="D104" s="19" t="s">
        <v>123</v>
      </c>
      <c r="E104" s="19" t="s">
        <v>0</v>
      </c>
      <c r="F104" s="16" t="s">
        <v>273</v>
      </c>
      <c r="G104" s="19" t="s">
        <v>123</v>
      </c>
      <c r="H104" s="15" t="s">
        <v>39</v>
      </c>
      <c r="I104" s="15" t="s">
        <v>39</v>
      </c>
      <c r="J104" s="15"/>
      <c r="K104" s="15"/>
      <c r="L104" s="40" t="s">
        <v>6</v>
      </c>
      <c r="M104" s="32" t="s">
        <v>39</v>
      </c>
      <c r="N104" s="80"/>
      <c r="O104" s="80"/>
    </row>
    <row r="105" spans="1:15" ht="11.25" hidden="1">
      <c r="A105" s="17" t="s">
        <v>546</v>
      </c>
      <c r="B105" s="17" t="s">
        <v>227</v>
      </c>
      <c r="C105" s="16" t="s">
        <v>241</v>
      </c>
      <c r="D105" s="19" t="s">
        <v>123</v>
      </c>
      <c r="E105" s="19" t="s">
        <v>0</v>
      </c>
      <c r="F105" s="16" t="s">
        <v>242</v>
      </c>
      <c r="G105" s="19" t="s">
        <v>123</v>
      </c>
      <c r="H105" s="27">
        <v>45967</v>
      </c>
      <c r="I105" s="15" t="s">
        <v>39</v>
      </c>
      <c r="J105" s="15"/>
      <c r="K105" s="15"/>
      <c r="L105" s="38" t="s">
        <v>6</v>
      </c>
      <c r="M105" s="32" t="s">
        <v>39</v>
      </c>
      <c r="N105" s="80"/>
      <c r="O105" s="80"/>
    </row>
    <row r="106" spans="1:15" ht="11.25" hidden="1">
      <c r="A106" s="17" t="s">
        <v>547</v>
      </c>
      <c r="B106" s="17" t="s">
        <v>133</v>
      </c>
      <c r="C106" s="16" t="s">
        <v>253</v>
      </c>
      <c r="D106" s="19" t="s">
        <v>123</v>
      </c>
      <c r="E106" s="19" t="s">
        <v>0</v>
      </c>
      <c r="F106" s="16" t="s">
        <v>254</v>
      </c>
      <c r="G106" s="19" t="s">
        <v>123</v>
      </c>
      <c r="H106" s="27">
        <v>45968</v>
      </c>
      <c r="I106" s="27">
        <v>45975</v>
      </c>
      <c r="J106" s="27"/>
      <c r="K106" s="15"/>
      <c r="L106" s="40" t="s">
        <v>6</v>
      </c>
      <c r="M106" s="32" t="s">
        <v>378</v>
      </c>
      <c r="N106" s="80"/>
      <c r="O106" s="80"/>
    </row>
    <row r="107" spans="1:15" ht="56.25" hidden="1">
      <c r="A107" s="17" t="s">
        <v>547</v>
      </c>
      <c r="B107" s="17" t="s">
        <v>133</v>
      </c>
      <c r="C107" s="16" t="s">
        <v>253</v>
      </c>
      <c r="D107" s="19" t="s">
        <v>123</v>
      </c>
      <c r="E107" s="19" t="s">
        <v>319</v>
      </c>
      <c r="F107" s="16" t="s">
        <v>255</v>
      </c>
      <c r="G107" s="19" t="s">
        <v>256</v>
      </c>
      <c r="H107" s="15" t="s">
        <v>39</v>
      </c>
      <c r="I107" s="15" t="s">
        <v>39</v>
      </c>
      <c r="J107" s="15"/>
      <c r="K107" s="15"/>
      <c r="L107" s="40" t="s">
        <v>6</v>
      </c>
      <c r="M107" s="32" t="s">
        <v>257</v>
      </c>
      <c r="N107" s="80"/>
      <c r="O107" s="80"/>
    </row>
    <row r="108" spans="1:15" ht="56.25" hidden="1">
      <c r="A108" s="17" t="s">
        <v>547</v>
      </c>
      <c r="B108" s="17" t="s">
        <v>133</v>
      </c>
      <c r="C108" s="16" t="s">
        <v>253</v>
      </c>
      <c r="D108" s="19" t="s">
        <v>123</v>
      </c>
      <c r="E108" s="19" t="s">
        <v>319</v>
      </c>
      <c r="F108" s="16" t="s">
        <v>258</v>
      </c>
      <c r="G108" s="19" t="s">
        <v>123</v>
      </c>
      <c r="H108" s="27">
        <v>45968</v>
      </c>
      <c r="I108" s="27">
        <v>45975</v>
      </c>
      <c r="J108" s="27"/>
      <c r="K108" s="15"/>
      <c r="L108" s="40" t="s">
        <v>6</v>
      </c>
      <c r="M108" s="32" t="s">
        <v>259</v>
      </c>
      <c r="N108" s="80"/>
      <c r="O108" s="80"/>
    </row>
    <row r="109" spans="1:15" ht="22.5" hidden="1">
      <c r="A109" s="17" t="s">
        <v>548</v>
      </c>
      <c r="B109" s="17" t="s">
        <v>131</v>
      </c>
      <c r="C109" s="16" t="s">
        <v>113</v>
      </c>
      <c r="D109" s="19" t="s">
        <v>123</v>
      </c>
      <c r="E109" s="19" t="s">
        <v>0</v>
      </c>
      <c r="F109" s="16" t="s">
        <v>244</v>
      </c>
      <c r="G109" s="41" t="s">
        <v>245</v>
      </c>
      <c r="H109" s="27">
        <v>45943</v>
      </c>
      <c r="I109" s="27">
        <v>45973</v>
      </c>
      <c r="J109" s="27"/>
      <c r="K109" s="27"/>
      <c r="L109" s="38" t="s">
        <v>37</v>
      </c>
      <c r="M109" s="32" t="s">
        <v>335</v>
      </c>
      <c r="N109" s="80"/>
      <c r="O109" s="80"/>
    </row>
    <row r="110" spans="1:15" ht="11.25" hidden="1">
      <c r="A110" s="17" t="s">
        <v>548</v>
      </c>
      <c r="B110" s="17" t="s">
        <v>131</v>
      </c>
      <c r="C110" s="16" t="s">
        <v>113</v>
      </c>
      <c r="D110" s="19" t="s">
        <v>123</v>
      </c>
      <c r="E110" s="19" t="s">
        <v>0</v>
      </c>
      <c r="F110" s="16" t="s">
        <v>246</v>
      </c>
      <c r="G110" s="41" t="s">
        <v>245</v>
      </c>
      <c r="H110" s="27">
        <v>45964</v>
      </c>
      <c r="I110" s="27">
        <v>45968</v>
      </c>
      <c r="J110" s="27"/>
      <c r="K110" s="27"/>
      <c r="L110" s="38" t="s">
        <v>37</v>
      </c>
      <c r="M110" s="32" t="s">
        <v>336</v>
      </c>
      <c r="N110" s="80"/>
      <c r="O110" s="80"/>
    </row>
    <row r="111" spans="1:15" ht="22.5" hidden="1">
      <c r="A111" s="17" t="s">
        <v>548</v>
      </c>
      <c r="B111" s="17" t="s">
        <v>131</v>
      </c>
      <c r="C111" s="16" t="s">
        <v>113</v>
      </c>
      <c r="D111" s="19" t="s">
        <v>123</v>
      </c>
      <c r="E111" s="19" t="s">
        <v>0</v>
      </c>
      <c r="F111" s="16" t="s">
        <v>247</v>
      </c>
      <c r="G111" s="41" t="s">
        <v>245</v>
      </c>
      <c r="H111" s="27">
        <v>45964</v>
      </c>
      <c r="I111" s="27">
        <v>45968</v>
      </c>
      <c r="J111" s="27"/>
      <c r="K111" s="27"/>
      <c r="L111" s="38" t="s">
        <v>37</v>
      </c>
      <c r="M111" s="32" t="s">
        <v>336</v>
      </c>
      <c r="N111" s="80"/>
      <c r="O111" s="80"/>
    </row>
    <row r="112" spans="1:15" ht="22.5" hidden="1">
      <c r="A112" s="17" t="s">
        <v>548</v>
      </c>
      <c r="B112" s="17" t="s">
        <v>131</v>
      </c>
      <c r="C112" s="16" t="s">
        <v>113</v>
      </c>
      <c r="D112" s="19" t="s">
        <v>123</v>
      </c>
      <c r="E112" s="19" t="s">
        <v>0</v>
      </c>
      <c r="F112" s="16" t="s">
        <v>338</v>
      </c>
      <c r="G112" s="41" t="s">
        <v>339</v>
      </c>
      <c r="H112" s="27">
        <v>45971</v>
      </c>
      <c r="I112" s="27">
        <v>45975</v>
      </c>
      <c r="J112" s="27"/>
      <c r="K112" s="27"/>
      <c r="L112" s="40" t="s">
        <v>37</v>
      </c>
      <c r="M112" s="32" t="s">
        <v>340</v>
      </c>
      <c r="N112" s="80"/>
      <c r="O112" s="80"/>
    </row>
    <row r="113" spans="1:15" ht="11.25" hidden="1">
      <c r="A113" s="17" t="s">
        <v>548</v>
      </c>
      <c r="B113" s="17" t="s">
        <v>131</v>
      </c>
      <c r="C113" s="16" t="s">
        <v>113</v>
      </c>
      <c r="D113" s="19" t="s">
        <v>123</v>
      </c>
      <c r="E113" s="19" t="s">
        <v>0</v>
      </c>
      <c r="F113" s="16" t="s">
        <v>341</v>
      </c>
      <c r="G113" s="41" t="s">
        <v>342</v>
      </c>
      <c r="H113" s="27">
        <v>45971</v>
      </c>
      <c r="I113" s="27">
        <v>45975</v>
      </c>
      <c r="J113" s="27"/>
      <c r="K113" s="27"/>
      <c r="L113" s="40" t="s">
        <v>37</v>
      </c>
      <c r="M113" s="32" t="s">
        <v>340</v>
      </c>
      <c r="N113" s="80"/>
      <c r="O113" s="80"/>
    </row>
    <row r="114" spans="1:15" ht="11.25" hidden="1">
      <c r="A114" s="17" t="s">
        <v>548</v>
      </c>
      <c r="B114" s="17" t="s">
        <v>131</v>
      </c>
      <c r="C114" s="16" t="s">
        <v>113</v>
      </c>
      <c r="D114" s="19" t="s">
        <v>123</v>
      </c>
      <c r="E114" s="19" t="s">
        <v>0</v>
      </c>
      <c r="F114" s="16" t="s">
        <v>343</v>
      </c>
      <c r="G114" s="41" t="s">
        <v>344</v>
      </c>
      <c r="H114" s="27">
        <v>45973</v>
      </c>
      <c r="I114" s="27">
        <v>45979</v>
      </c>
      <c r="J114" s="27"/>
      <c r="K114" s="27"/>
      <c r="L114" s="40" t="s">
        <v>37</v>
      </c>
      <c r="M114" s="32" t="s">
        <v>39</v>
      </c>
      <c r="N114" s="80"/>
      <c r="O114" s="80"/>
    </row>
    <row r="115" spans="1:15" ht="22.5" hidden="1">
      <c r="A115" s="17" t="s">
        <v>548</v>
      </c>
      <c r="B115" s="17" t="s">
        <v>131</v>
      </c>
      <c r="C115" s="16" t="s">
        <v>113</v>
      </c>
      <c r="D115" s="19" t="s">
        <v>123</v>
      </c>
      <c r="E115" s="19" t="s">
        <v>0</v>
      </c>
      <c r="F115" s="16" t="s">
        <v>346</v>
      </c>
      <c r="G115" s="41" t="s">
        <v>339</v>
      </c>
      <c r="H115" s="27">
        <v>45980</v>
      </c>
      <c r="I115" s="27">
        <v>45987</v>
      </c>
      <c r="J115" s="27"/>
      <c r="K115" s="27"/>
      <c r="L115" s="40" t="s">
        <v>37</v>
      </c>
      <c r="M115" s="32" t="s">
        <v>39</v>
      </c>
      <c r="N115" s="80"/>
      <c r="O115" s="80"/>
    </row>
    <row r="116" spans="1:15" ht="45" hidden="1">
      <c r="A116" s="17" t="s">
        <v>548</v>
      </c>
      <c r="B116" s="17" t="s">
        <v>131</v>
      </c>
      <c r="C116" s="16" t="s">
        <v>113</v>
      </c>
      <c r="D116" s="19" t="s">
        <v>123</v>
      </c>
      <c r="E116" s="19" t="s">
        <v>0</v>
      </c>
      <c r="F116" s="16" t="s">
        <v>347</v>
      </c>
      <c r="G116" s="41" t="s">
        <v>348</v>
      </c>
      <c r="H116" s="27">
        <v>45978</v>
      </c>
      <c r="I116" s="27">
        <v>45985</v>
      </c>
      <c r="J116" s="27"/>
      <c r="K116" s="27"/>
      <c r="L116" s="40" t="s">
        <v>37</v>
      </c>
      <c r="M116" s="32" t="s">
        <v>349</v>
      </c>
      <c r="N116" s="80"/>
      <c r="O116" s="80"/>
    </row>
    <row r="117" spans="1:15" ht="22.5" hidden="1">
      <c r="A117" s="17" t="s">
        <v>548</v>
      </c>
      <c r="B117" s="17" t="s">
        <v>131</v>
      </c>
      <c r="C117" s="16" t="s">
        <v>113</v>
      </c>
      <c r="D117" s="19" t="s">
        <v>123</v>
      </c>
      <c r="E117" s="19" t="s">
        <v>0</v>
      </c>
      <c r="F117" s="16" t="s">
        <v>248</v>
      </c>
      <c r="G117" s="41" t="s">
        <v>245</v>
      </c>
      <c r="H117" s="27">
        <v>45967</v>
      </c>
      <c r="I117" s="27">
        <v>45973</v>
      </c>
      <c r="J117" s="27"/>
      <c r="K117" s="27"/>
      <c r="L117" s="40" t="s">
        <v>37</v>
      </c>
      <c r="M117" s="32" t="s">
        <v>337</v>
      </c>
      <c r="N117" s="80"/>
      <c r="O117" s="80"/>
    </row>
    <row r="118" spans="1:15" ht="22.5" hidden="1">
      <c r="A118" s="17" t="s">
        <v>548</v>
      </c>
      <c r="B118" s="17" t="s">
        <v>131</v>
      </c>
      <c r="C118" s="16" t="s">
        <v>113</v>
      </c>
      <c r="D118" s="19" t="s">
        <v>123</v>
      </c>
      <c r="E118" s="19" t="s">
        <v>0</v>
      </c>
      <c r="F118" s="16" t="s">
        <v>345</v>
      </c>
      <c r="G118" s="41" t="s">
        <v>344</v>
      </c>
      <c r="H118" s="27">
        <v>45980</v>
      </c>
      <c r="I118" s="27">
        <v>45987</v>
      </c>
      <c r="J118" s="27"/>
      <c r="K118" s="15"/>
      <c r="L118" s="40" t="s">
        <v>6</v>
      </c>
      <c r="M118" s="32" t="s">
        <v>376</v>
      </c>
      <c r="N118" s="80"/>
      <c r="O118" s="80"/>
    </row>
    <row r="119" spans="1:15" ht="22.5" hidden="1">
      <c r="A119" s="17" t="s">
        <v>550</v>
      </c>
      <c r="B119" s="17" t="s">
        <v>84</v>
      </c>
      <c r="C119" s="16" t="s">
        <v>157</v>
      </c>
      <c r="D119" s="19" t="s">
        <v>38</v>
      </c>
      <c r="E119" s="19" t="s">
        <v>0</v>
      </c>
      <c r="F119" s="16" t="s">
        <v>56</v>
      </c>
      <c r="G119" s="19" t="s">
        <v>57</v>
      </c>
      <c r="H119" s="14">
        <v>45945</v>
      </c>
      <c r="I119" s="14">
        <v>45971</v>
      </c>
      <c r="J119" s="14"/>
      <c r="K119" s="15"/>
      <c r="L119" s="38" t="s">
        <v>6</v>
      </c>
      <c r="M119" s="18" t="s">
        <v>58</v>
      </c>
      <c r="N119" s="80"/>
      <c r="O119" s="80"/>
    </row>
    <row r="120" spans="1:15" ht="22.5" hidden="1">
      <c r="A120" s="17" t="s">
        <v>550</v>
      </c>
      <c r="B120" s="17" t="s">
        <v>84</v>
      </c>
      <c r="C120" s="16" t="s">
        <v>157</v>
      </c>
      <c r="D120" s="19" t="s">
        <v>38</v>
      </c>
      <c r="E120" s="19" t="s">
        <v>0</v>
      </c>
      <c r="F120" s="16" t="s">
        <v>59</v>
      </c>
      <c r="G120" s="19" t="s">
        <v>38</v>
      </c>
      <c r="H120" s="14">
        <v>45966</v>
      </c>
      <c r="I120" s="14">
        <v>45976</v>
      </c>
      <c r="J120" s="14"/>
      <c r="K120" s="15"/>
      <c r="L120" s="38" t="s">
        <v>6</v>
      </c>
      <c r="M120" s="18" t="s">
        <v>60</v>
      </c>
      <c r="N120" s="80"/>
      <c r="O120" s="80"/>
    </row>
    <row r="121" spans="1:15" ht="22.5" hidden="1">
      <c r="A121" s="17" t="s">
        <v>550</v>
      </c>
      <c r="B121" s="17" t="s">
        <v>84</v>
      </c>
      <c r="C121" s="16" t="s">
        <v>157</v>
      </c>
      <c r="D121" s="19" t="s">
        <v>38</v>
      </c>
      <c r="E121" s="19" t="s">
        <v>0</v>
      </c>
      <c r="F121" s="16" t="s">
        <v>56</v>
      </c>
      <c r="G121" s="19" t="s">
        <v>262</v>
      </c>
      <c r="H121" s="14">
        <v>45945</v>
      </c>
      <c r="I121" s="14">
        <v>45971</v>
      </c>
      <c r="J121" s="14"/>
      <c r="K121" s="15"/>
      <c r="L121" s="38" t="s">
        <v>6</v>
      </c>
      <c r="M121" s="18" t="s">
        <v>477</v>
      </c>
      <c r="N121" s="80"/>
      <c r="O121" s="80"/>
    </row>
    <row r="122" spans="1:15" ht="11.25" hidden="1">
      <c r="A122" s="17" t="s">
        <v>550</v>
      </c>
      <c r="B122" s="17" t="s">
        <v>84</v>
      </c>
      <c r="C122" s="16" t="s">
        <v>170</v>
      </c>
      <c r="D122" s="19" t="s">
        <v>38</v>
      </c>
      <c r="E122" s="19" t="s">
        <v>0</v>
      </c>
      <c r="F122" s="16" t="s">
        <v>40</v>
      </c>
      <c r="G122" s="19" t="s">
        <v>38</v>
      </c>
      <c r="H122" s="14">
        <v>45945</v>
      </c>
      <c r="I122" s="14">
        <v>45975</v>
      </c>
      <c r="J122" s="14"/>
      <c r="K122" s="15"/>
      <c r="L122" s="38" t="s">
        <v>41</v>
      </c>
      <c r="M122" s="18"/>
      <c r="N122" s="80"/>
      <c r="O122" s="80"/>
    </row>
    <row r="123" spans="1:15" ht="45" hidden="1">
      <c r="A123" s="17" t="s">
        <v>550</v>
      </c>
      <c r="B123" s="17" t="s">
        <v>84</v>
      </c>
      <c r="C123" s="16" t="s">
        <v>169</v>
      </c>
      <c r="D123" s="19" t="s">
        <v>38</v>
      </c>
      <c r="E123" s="19" t="s">
        <v>0</v>
      </c>
      <c r="F123" s="16" t="s">
        <v>61</v>
      </c>
      <c r="G123" s="19" t="s">
        <v>38</v>
      </c>
      <c r="H123" s="14">
        <v>45945</v>
      </c>
      <c r="I123" s="14">
        <v>45971</v>
      </c>
      <c r="J123" s="14"/>
      <c r="K123" s="15"/>
      <c r="L123" s="38" t="s">
        <v>6</v>
      </c>
      <c r="M123" s="18" t="s">
        <v>62</v>
      </c>
      <c r="N123" s="80"/>
      <c r="O123" s="80"/>
    </row>
    <row r="124" spans="1:15" ht="9.75" customHeight="1">
      <c r="A124" s="17"/>
      <c r="B124" s="17"/>
      <c r="C124" s="16"/>
      <c r="D124" s="19"/>
      <c r="E124" s="19"/>
      <c r="F124" s="16"/>
      <c r="G124" s="41"/>
      <c r="H124" s="15"/>
      <c r="I124" s="15"/>
      <c r="J124" s="38"/>
      <c r="K124" s="38"/>
      <c r="L124" s="32"/>
    </row>
    <row r="125" spans="1:15" ht="9.75" customHeight="1">
      <c r="A125" s="17"/>
      <c r="B125" s="17"/>
      <c r="C125" s="16"/>
      <c r="D125" s="19"/>
      <c r="E125" s="19"/>
      <c r="F125" s="16"/>
      <c r="G125" s="41"/>
      <c r="H125" s="15"/>
      <c r="I125" s="15"/>
      <c r="J125" s="38"/>
      <c r="K125" s="38"/>
      <c r="L125" s="32"/>
    </row>
    <row r="126" spans="1:15" ht="9.75" customHeight="1">
      <c r="A126" s="17"/>
      <c r="B126" s="17"/>
      <c r="C126" s="16"/>
      <c r="D126" s="19"/>
      <c r="E126" s="19"/>
      <c r="F126" s="16"/>
      <c r="G126" s="41"/>
      <c r="H126" s="15"/>
      <c r="I126" s="15"/>
      <c r="J126" s="38"/>
      <c r="K126" s="38"/>
      <c r="L126" s="32"/>
    </row>
    <row r="127" spans="1:15" ht="9.75" customHeight="1">
      <c r="A127" s="17"/>
      <c r="B127" s="17"/>
      <c r="C127" s="16"/>
      <c r="D127" s="19"/>
      <c r="E127" s="19"/>
      <c r="F127" s="16"/>
      <c r="G127" s="41"/>
      <c r="H127" s="15"/>
      <c r="I127" s="15"/>
      <c r="J127" s="38"/>
      <c r="K127" s="38"/>
      <c r="L127" s="32"/>
    </row>
    <row r="128" spans="1:15" ht="9.75" customHeight="1">
      <c r="A128" s="17"/>
      <c r="B128" s="17"/>
      <c r="C128" s="16"/>
      <c r="D128" s="19"/>
      <c r="E128" s="19"/>
      <c r="F128" s="16"/>
      <c r="G128" s="41"/>
      <c r="H128" s="15"/>
      <c r="I128" s="15"/>
      <c r="J128" s="38"/>
      <c r="K128" s="38"/>
      <c r="L128" s="32"/>
    </row>
    <row r="129" spans="1:12" ht="9.75" customHeight="1">
      <c r="A129" s="17"/>
      <c r="B129" s="17"/>
      <c r="C129" s="16"/>
      <c r="D129" s="19"/>
      <c r="E129" s="19"/>
      <c r="F129" s="16"/>
      <c r="G129" s="41"/>
      <c r="H129" s="15"/>
      <c r="I129" s="15"/>
      <c r="J129" s="38"/>
      <c r="K129" s="38"/>
      <c r="L129" s="32"/>
    </row>
    <row r="130" spans="1:12" ht="9.75" customHeight="1">
      <c r="A130" s="17"/>
      <c r="B130" s="17"/>
      <c r="C130" s="16"/>
      <c r="D130" s="19"/>
      <c r="E130" s="19"/>
      <c r="F130" s="16"/>
      <c r="G130" s="41"/>
      <c r="H130" s="15"/>
      <c r="I130" s="15"/>
      <c r="J130" s="38"/>
      <c r="K130" s="38"/>
      <c r="L130" s="32"/>
    </row>
    <row r="131" spans="1:12" ht="9.75" customHeight="1">
      <c r="A131" s="17"/>
      <c r="B131" s="17"/>
      <c r="C131" s="16"/>
      <c r="D131" s="19"/>
      <c r="E131" s="19"/>
      <c r="F131" s="16"/>
      <c r="G131" s="41"/>
      <c r="H131" s="15"/>
      <c r="I131" s="15"/>
      <c r="J131" s="38"/>
      <c r="K131" s="38"/>
      <c r="L131" s="32"/>
    </row>
    <row r="132" spans="1:12" ht="9.75" customHeight="1">
      <c r="A132" s="17"/>
      <c r="B132" s="17"/>
      <c r="C132" s="16"/>
      <c r="D132" s="19"/>
      <c r="E132" s="19"/>
      <c r="F132" s="16"/>
      <c r="G132" s="41"/>
      <c r="H132" s="15"/>
      <c r="I132" s="15"/>
      <c r="J132" s="38"/>
      <c r="K132" s="38"/>
      <c r="L132" s="32"/>
    </row>
    <row r="133" spans="1:12" ht="9.75" customHeight="1">
      <c r="A133" s="17"/>
      <c r="B133" s="17"/>
      <c r="C133" s="16"/>
      <c r="D133" s="19"/>
      <c r="E133" s="19"/>
      <c r="F133" s="16"/>
      <c r="G133" s="41"/>
      <c r="H133" s="15"/>
      <c r="I133" s="15"/>
      <c r="J133" s="38"/>
      <c r="K133" s="38"/>
      <c r="L133" s="32"/>
    </row>
    <row r="134" spans="1:12" ht="9.75" customHeight="1">
      <c r="A134" s="17"/>
      <c r="B134" s="17"/>
      <c r="C134" s="16"/>
      <c r="D134" s="19"/>
      <c r="E134" s="19"/>
      <c r="F134" s="16"/>
      <c r="G134" s="41"/>
      <c r="H134" s="15"/>
      <c r="I134" s="15"/>
      <c r="J134" s="38"/>
      <c r="K134" s="38"/>
      <c r="L134" s="32"/>
    </row>
    <row r="135" spans="1:12" ht="9.75" customHeight="1">
      <c r="A135" s="17"/>
      <c r="B135" s="17"/>
      <c r="C135" s="16"/>
      <c r="D135" s="19"/>
      <c r="E135" s="19"/>
      <c r="F135" s="16"/>
      <c r="G135" s="41"/>
      <c r="H135" s="15"/>
      <c r="I135" s="15"/>
      <c r="J135" s="38"/>
      <c r="K135" s="38"/>
      <c r="L135" s="32"/>
    </row>
    <row r="136" spans="1:12" ht="9.75" customHeight="1">
      <c r="A136" s="17"/>
      <c r="B136" s="17"/>
      <c r="C136" s="16"/>
      <c r="D136" s="19"/>
      <c r="E136" s="19"/>
      <c r="F136" s="16"/>
      <c r="G136" s="41"/>
      <c r="H136" s="15"/>
      <c r="I136" s="15"/>
      <c r="J136" s="38"/>
      <c r="K136" s="38"/>
      <c r="L136" s="32"/>
    </row>
    <row r="137" spans="1:12" ht="9.75" customHeight="1">
      <c r="A137" s="17"/>
      <c r="B137" s="17"/>
      <c r="C137" s="16"/>
      <c r="D137" s="19"/>
      <c r="E137" s="19"/>
      <c r="F137" s="16"/>
      <c r="G137" s="41"/>
      <c r="H137" s="15"/>
      <c r="I137" s="15"/>
      <c r="J137" s="38"/>
      <c r="K137" s="38"/>
      <c r="L137" s="32"/>
    </row>
    <row r="138" spans="1:12" ht="9.75" customHeight="1">
      <c r="A138" s="17"/>
      <c r="B138" s="17"/>
      <c r="C138" s="16"/>
      <c r="D138" s="19"/>
      <c r="E138" s="19"/>
      <c r="F138" s="16"/>
      <c r="G138" s="41"/>
      <c r="H138" s="15"/>
      <c r="I138" s="15"/>
      <c r="J138" s="38"/>
      <c r="K138" s="38"/>
      <c r="L138" s="32"/>
    </row>
    <row r="139" spans="1:12" ht="9.75" customHeight="1">
      <c r="A139" s="17"/>
      <c r="B139" s="17"/>
      <c r="C139" s="16"/>
      <c r="D139" s="19"/>
      <c r="E139" s="19"/>
      <c r="F139" s="16"/>
      <c r="G139" s="41"/>
      <c r="H139" s="15"/>
      <c r="I139" s="15"/>
      <c r="J139" s="38"/>
      <c r="K139" s="38"/>
      <c r="L139" s="32"/>
    </row>
    <row r="140" spans="1:12" ht="9.75" customHeight="1">
      <c r="A140" s="17"/>
      <c r="B140" s="17"/>
      <c r="C140" s="16"/>
      <c r="D140" s="19"/>
      <c r="E140" s="19"/>
      <c r="F140" s="16"/>
      <c r="G140" s="41"/>
      <c r="H140" s="15"/>
      <c r="I140" s="15"/>
      <c r="J140" s="38"/>
      <c r="K140" s="38"/>
      <c r="L140" s="32"/>
    </row>
    <row r="141" spans="1:12" ht="9.75" customHeight="1">
      <c r="A141" s="17"/>
      <c r="B141" s="17"/>
      <c r="C141" s="16"/>
      <c r="D141" s="19"/>
      <c r="E141" s="19"/>
      <c r="F141" s="16"/>
      <c r="G141" s="41"/>
      <c r="H141" s="15"/>
      <c r="I141" s="15"/>
      <c r="J141" s="38"/>
      <c r="K141" s="38"/>
      <c r="L141" s="32"/>
    </row>
    <row r="142" spans="1:12" ht="9.75" customHeight="1">
      <c r="A142" s="17"/>
      <c r="B142" s="17"/>
      <c r="C142" s="16"/>
      <c r="D142" s="19"/>
      <c r="E142" s="19"/>
      <c r="F142" s="16"/>
      <c r="G142" s="41"/>
      <c r="H142" s="15"/>
      <c r="I142" s="15"/>
      <c r="J142" s="38"/>
      <c r="K142" s="38"/>
      <c r="L142" s="32"/>
    </row>
    <row r="143" spans="1:12" ht="9.75" customHeight="1">
      <c r="A143" s="17"/>
      <c r="B143" s="17"/>
      <c r="C143" s="16"/>
      <c r="D143" s="19"/>
      <c r="E143" s="19"/>
      <c r="F143" s="16"/>
      <c r="G143" s="41"/>
      <c r="H143" s="15"/>
      <c r="I143" s="15"/>
      <c r="J143" s="38"/>
      <c r="K143" s="38"/>
      <c r="L143" s="32"/>
    </row>
    <row r="144" spans="1:12" ht="9.75" customHeight="1">
      <c r="A144" s="17"/>
      <c r="B144" s="17"/>
      <c r="C144" s="16"/>
      <c r="D144" s="19"/>
      <c r="E144" s="19"/>
      <c r="F144" s="16"/>
      <c r="G144" s="41"/>
      <c r="H144" s="15"/>
      <c r="I144" s="15"/>
      <c r="J144" s="38"/>
      <c r="K144" s="38"/>
      <c r="L144" s="32"/>
    </row>
    <row r="145" spans="1:12" ht="9.75" customHeight="1">
      <c r="A145" s="17"/>
      <c r="B145" s="17"/>
      <c r="C145" s="16"/>
      <c r="D145" s="19"/>
      <c r="E145" s="19"/>
      <c r="F145" s="16"/>
      <c r="G145" s="41"/>
      <c r="H145" s="15"/>
      <c r="I145" s="15"/>
      <c r="J145" s="38"/>
      <c r="K145" s="38"/>
      <c r="L145" s="32"/>
    </row>
    <row r="146" spans="1:12" ht="9.75" customHeight="1">
      <c r="A146" s="17"/>
      <c r="B146" s="17"/>
      <c r="C146" s="16"/>
      <c r="D146" s="19"/>
      <c r="E146" s="19"/>
      <c r="F146" s="16"/>
      <c r="G146" s="41"/>
      <c r="H146" s="15"/>
      <c r="I146" s="15"/>
      <c r="J146" s="38"/>
      <c r="K146" s="38"/>
      <c r="L146" s="32"/>
    </row>
    <row r="147" spans="1:12" ht="9.75" customHeight="1">
      <c r="A147" s="17"/>
      <c r="B147" s="17"/>
      <c r="C147" s="16"/>
      <c r="D147" s="19"/>
      <c r="E147" s="19"/>
      <c r="F147" s="16"/>
      <c r="G147" s="41"/>
      <c r="H147" s="15"/>
      <c r="I147" s="15"/>
      <c r="J147" s="38"/>
      <c r="K147" s="38"/>
      <c r="L147" s="32"/>
    </row>
    <row r="148" spans="1:12" ht="9.75" customHeight="1">
      <c r="A148" s="17"/>
      <c r="B148" s="17"/>
      <c r="C148" s="16"/>
      <c r="D148" s="19"/>
      <c r="E148" s="19"/>
      <c r="F148" s="16"/>
      <c r="G148" s="41"/>
      <c r="H148" s="15"/>
      <c r="I148" s="15"/>
      <c r="J148" s="38"/>
      <c r="K148" s="38"/>
      <c r="L148" s="32"/>
    </row>
    <row r="149" spans="1:12" ht="9.75" customHeight="1">
      <c r="A149" s="17"/>
      <c r="B149" s="17"/>
      <c r="C149" s="16"/>
      <c r="D149" s="19"/>
      <c r="E149" s="19"/>
      <c r="F149" s="16"/>
      <c r="G149" s="41"/>
      <c r="H149" s="15"/>
      <c r="I149" s="15"/>
      <c r="J149" s="38"/>
      <c r="K149" s="38"/>
      <c r="L149" s="32"/>
    </row>
  </sheetData>
  <phoneticPr fontId="5" type="noConversion"/>
  <conditionalFormatting sqref="L2:L123">
    <cfRule type="containsText" dxfId="4" priority="1" operator="containsText" text="Pausado">
      <formula>NOT(ISERROR(SEARCH("Pausado",L2)))</formula>
    </cfRule>
    <cfRule type="containsText" dxfId="3" priority="2" operator="containsText" text="Em Progresso">
      <formula>NOT(ISERROR(SEARCH("Em Progresso",L2)))</formula>
    </cfRule>
    <cfRule type="containsText" dxfId="2" priority="9" operator="containsText" text="Em Risco">
      <formula>NOT(ISERROR(SEARCH("Em Risco",L2)))</formula>
    </cfRule>
    <cfRule type="containsText" dxfId="1" priority="10" operator="containsText" text="Atrasado">
      <formula>NOT(ISERROR(SEARCH("Atrasado",L2)))</formula>
    </cfRule>
    <cfRule type="containsText" dxfId="0" priority="11" operator="containsText" text="Concluído">
      <formula>NOT(ISERROR(SEARCH("Concluído",L2)))</formula>
    </cfRule>
  </conditionalFormatting>
  <dataValidations count="3">
    <dataValidation type="list" allowBlank="1" showInputMessage="1" showErrorMessage="1" sqref="L30:L36" xr:uid="{9A0BD73E-9616-40A9-87D8-3CD93F0DC7E5}">
      <formula1>"Em Linha,Atrasado,Concluído,Em Progresso,Em Risco"</formula1>
    </dataValidation>
    <dataValidation type="list" allowBlank="1" showInputMessage="1" showErrorMessage="1" sqref="L2:L29 L37:L123 J124:K149" xr:uid="{1B05CE38-0B8C-49A8-B098-9A0443E7A5F0}">
      <formula1>"Atrasado,Concluído,Em Progresso,Em Risco,Pausado"</formula1>
    </dataValidation>
    <dataValidation type="list" allowBlank="1" showInputMessage="1" showErrorMessage="1" sqref="K2:K7 K26 K28 K32 K34:K38 K44:K45 K48 K64 K71:K72 K75:K80 K88 K92 K94:K96 K98 K103:K104 K106:K109 K116:K117 K119:K123" xr:uid="{AF56F0C8-9B3B-47B6-87B9-F5F7B2C0DCF9}">
      <formula1>"Alta,Média,Baixa"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7580F-8714-4E7E-BA2D-346F65F16776}">
  <dimension ref="A1:F1"/>
  <sheetViews>
    <sheetView workbookViewId="0">
      <selection activeCell="F2" sqref="F2"/>
    </sheetView>
  </sheetViews>
  <sheetFormatPr defaultRowHeight="15"/>
  <cols>
    <col min="1" max="1" width="11.7109375" bestFit="1" customWidth="1"/>
  </cols>
  <sheetData>
    <row r="1" spans="1:6">
      <c r="A1" t="s">
        <v>502</v>
      </c>
      <c r="B1" t="s">
        <v>573</v>
      </c>
      <c r="C1" t="s">
        <v>574</v>
      </c>
      <c r="D1" t="s">
        <v>575</v>
      </c>
      <c r="E1" t="s">
        <v>2</v>
      </c>
      <c r="F1" t="s">
        <v>576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3923-C366-450C-8560-B1C33DE7B4BE}">
  <dimension ref="A1:B6"/>
  <sheetViews>
    <sheetView workbookViewId="0">
      <selection activeCell="E3" sqref="E3"/>
    </sheetView>
  </sheetViews>
  <sheetFormatPr defaultRowHeight="15"/>
  <cols>
    <col min="1" max="1" width="18.42578125" bestFit="1" customWidth="1"/>
    <col min="2" max="2" width="26.42578125" bestFit="1" customWidth="1"/>
    <col min="3" max="3" width="12" bestFit="1" customWidth="1"/>
    <col min="4" max="4" width="9.7109375" bestFit="1" customWidth="1"/>
    <col min="5" max="5" width="7.5703125" bestFit="1" customWidth="1"/>
    <col min="6" max="6" width="10.7109375" bestFit="1" customWidth="1"/>
    <col min="7" max="7" width="12" bestFit="1" customWidth="1"/>
    <col min="8" max="8" width="9.7109375" bestFit="1" customWidth="1"/>
    <col min="9" max="9" width="7.5703125" bestFit="1" customWidth="1"/>
    <col min="10" max="11" width="15.28515625" bestFit="1" customWidth="1"/>
    <col min="12" max="12" width="9.7109375" bestFit="1" customWidth="1"/>
    <col min="13" max="13" width="7.5703125" bestFit="1" customWidth="1"/>
    <col min="14" max="14" width="18.42578125" bestFit="1" customWidth="1"/>
    <col min="15" max="15" width="11.140625" bestFit="1" customWidth="1"/>
    <col min="16" max="16" width="14.28515625" bestFit="1" customWidth="1"/>
    <col min="17" max="17" width="10.28515625" bestFit="1" customWidth="1"/>
    <col min="18" max="18" width="13.5703125" bestFit="1" customWidth="1"/>
    <col min="19" max="19" width="10.7109375" bestFit="1" customWidth="1"/>
  </cols>
  <sheetData>
    <row r="1" spans="1:2">
      <c r="A1" s="43" t="s">
        <v>369</v>
      </c>
      <c r="B1" t="s">
        <v>371</v>
      </c>
    </row>
    <row r="2" spans="1:2">
      <c r="A2" s="44" t="s">
        <v>351</v>
      </c>
      <c r="B2">
        <v>8</v>
      </c>
    </row>
    <row r="3" spans="1:2">
      <c r="A3" s="44" t="s">
        <v>312</v>
      </c>
      <c r="B3">
        <v>4</v>
      </c>
    </row>
    <row r="4" spans="1:2">
      <c r="A4" s="44" t="s">
        <v>319</v>
      </c>
      <c r="B4">
        <v>5</v>
      </c>
    </row>
    <row r="5" spans="1:2">
      <c r="A5" s="44" t="s">
        <v>0</v>
      </c>
      <c r="B5">
        <v>102</v>
      </c>
    </row>
    <row r="6" spans="1:2">
      <c r="A6" s="44" t="s">
        <v>370</v>
      </c>
      <c r="B6">
        <v>119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E0C4-B3DD-4F95-9425-A3B4353D20CC}">
  <dimension ref="A1:J11"/>
  <sheetViews>
    <sheetView workbookViewId="0">
      <selection activeCell="C3" sqref="C3"/>
    </sheetView>
  </sheetViews>
  <sheetFormatPr defaultColWidth="19.28515625" defaultRowHeight="15"/>
  <cols>
    <col min="1" max="1" width="22" bestFit="1" customWidth="1"/>
    <col min="2" max="10" width="15.7109375" customWidth="1"/>
  </cols>
  <sheetData>
    <row r="1" spans="1:10" ht="17.25" thickBot="1">
      <c r="E1" s="95" t="s">
        <v>36</v>
      </c>
      <c r="F1" s="95"/>
      <c r="G1" s="95"/>
      <c r="H1" s="95"/>
      <c r="I1" s="95"/>
      <c r="J1" s="95"/>
    </row>
    <row r="2" spans="1:10" s="3" customFormat="1" ht="33.75" thickBot="1">
      <c r="A2" s="4" t="s">
        <v>17</v>
      </c>
      <c r="B2" s="4" t="s">
        <v>25</v>
      </c>
      <c r="C2" s="4" t="s">
        <v>26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35</v>
      </c>
      <c r="I2" s="4" t="s">
        <v>32</v>
      </c>
      <c r="J2" s="4" t="s">
        <v>27</v>
      </c>
    </row>
    <row r="3" spans="1:10" ht="16.5">
      <c r="A3" s="5" t="s">
        <v>18</v>
      </c>
      <c r="B3" s="8">
        <v>2.2799999999999998</v>
      </c>
      <c r="C3" s="8">
        <v>-1.98</v>
      </c>
      <c r="D3" s="8">
        <f t="shared" ref="D3:D10" si="0">SUM(B3:C3)</f>
        <v>0.29999999999999982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f t="shared" ref="J3:J10" si="1">SUM(D3:I3)</f>
        <v>0.29999999999999982</v>
      </c>
    </row>
    <row r="4" spans="1:10" ht="16.5">
      <c r="A4" s="6" t="s">
        <v>19</v>
      </c>
      <c r="B4" s="9">
        <v>11.38</v>
      </c>
      <c r="C4" s="9">
        <v>-11.53</v>
      </c>
      <c r="D4" s="9">
        <f t="shared" si="0"/>
        <v>-0.14999999999999858</v>
      </c>
      <c r="E4" s="9">
        <v>0</v>
      </c>
      <c r="F4" s="9">
        <v>-0.25</v>
      </c>
      <c r="G4" s="9">
        <v>0</v>
      </c>
      <c r="H4" s="9">
        <v>0</v>
      </c>
      <c r="I4" s="9">
        <v>0</v>
      </c>
      <c r="J4" s="9">
        <f t="shared" si="1"/>
        <v>-0.39999999999999858</v>
      </c>
    </row>
    <row r="5" spans="1:10" ht="16.5">
      <c r="A5" s="5" t="s">
        <v>20</v>
      </c>
      <c r="B5" s="8">
        <v>8.34</v>
      </c>
      <c r="C5" s="8">
        <v>-6.58</v>
      </c>
      <c r="D5" s="8">
        <f t="shared" si="0"/>
        <v>1.7599999999999998</v>
      </c>
      <c r="E5" s="8">
        <v>0</v>
      </c>
      <c r="F5" s="8">
        <v>-0.03</v>
      </c>
      <c r="G5" s="8">
        <v>-3.2</v>
      </c>
      <c r="H5" s="8">
        <v>0</v>
      </c>
      <c r="I5" s="8">
        <v>0</v>
      </c>
      <c r="J5" s="8">
        <f t="shared" si="1"/>
        <v>-1.4700000000000004</v>
      </c>
    </row>
    <row r="6" spans="1:10" ht="16.5">
      <c r="A6" s="6" t="s">
        <v>21</v>
      </c>
      <c r="B6" s="9">
        <v>4.5199999999999996</v>
      </c>
      <c r="C6" s="9">
        <v>-2.58</v>
      </c>
      <c r="D6" s="9">
        <f t="shared" si="0"/>
        <v>1.9399999999999995</v>
      </c>
      <c r="E6" s="9">
        <v>-3.06</v>
      </c>
      <c r="F6" s="9">
        <v>0</v>
      </c>
      <c r="G6" s="9">
        <v>0</v>
      </c>
      <c r="H6" s="9">
        <v>0</v>
      </c>
      <c r="I6" s="9">
        <v>0</v>
      </c>
      <c r="J6" s="9">
        <f t="shared" si="1"/>
        <v>-1.1200000000000006</v>
      </c>
    </row>
    <row r="7" spans="1:10" ht="16.5">
      <c r="A7" s="5" t="s">
        <v>22</v>
      </c>
      <c r="B7" s="8">
        <v>17.920000000000002</v>
      </c>
      <c r="C7" s="8">
        <v>-16.899999999999999</v>
      </c>
      <c r="D7" s="8">
        <f t="shared" si="0"/>
        <v>1.0200000000000031</v>
      </c>
      <c r="E7" s="8">
        <v>-0.2</v>
      </c>
      <c r="F7" s="8">
        <v>-7.0000000000000007E-2</v>
      </c>
      <c r="G7" s="8">
        <v>0</v>
      </c>
      <c r="H7" s="8">
        <v>0</v>
      </c>
      <c r="I7" s="8">
        <v>0</v>
      </c>
      <c r="J7" s="8">
        <f t="shared" si="1"/>
        <v>0.75000000000000311</v>
      </c>
    </row>
    <row r="8" spans="1:10" ht="16.5">
      <c r="A8" s="6" t="s">
        <v>23</v>
      </c>
      <c r="B8" s="9">
        <v>2.46</v>
      </c>
      <c r="C8" s="9">
        <v>-2.57</v>
      </c>
      <c r="D8" s="9">
        <f t="shared" si="0"/>
        <v>-0.10999999999999988</v>
      </c>
      <c r="E8" s="9">
        <v>0</v>
      </c>
      <c r="F8" s="9">
        <v>-0.09</v>
      </c>
      <c r="G8" s="9">
        <v>0</v>
      </c>
      <c r="H8" s="9">
        <v>0</v>
      </c>
      <c r="I8" s="9">
        <v>0</v>
      </c>
      <c r="J8" s="9">
        <f t="shared" si="1"/>
        <v>-0.19999999999999987</v>
      </c>
    </row>
    <row r="9" spans="1:10" ht="33">
      <c r="A9" s="5" t="s">
        <v>24</v>
      </c>
      <c r="B9" s="8">
        <v>1.5</v>
      </c>
      <c r="C9" s="8">
        <v>-1.66</v>
      </c>
      <c r="D9" s="8">
        <f t="shared" si="0"/>
        <v>-0.15999999999999992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f t="shared" si="1"/>
        <v>-0.15999999999999992</v>
      </c>
    </row>
    <row r="10" spans="1:10" ht="17.25" thickBot="1">
      <c r="A10" s="7" t="s">
        <v>33</v>
      </c>
      <c r="B10" s="10">
        <v>0.14000000000000001</v>
      </c>
      <c r="C10" s="10">
        <v>-0.3</v>
      </c>
      <c r="D10" s="10">
        <f t="shared" si="0"/>
        <v>-0.15999999999999998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f t="shared" si="1"/>
        <v>-0.15999999999999998</v>
      </c>
    </row>
    <row r="11" spans="1:10" s="13" customFormat="1" ht="16.5">
      <c r="A11" s="11" t="s">
        <v>34</v>
      </c>
      <c r="B11" s="12">
        <f t="shared" ref="B11:J11" si="2">SUM(B3:B10)</f>
        <v>48.54</v>
      </c>
      <c r="C11" s="12">
        <f t="shared" si="2"/>
        <v>-44.099999999999994</v>
      </c>
      <c r="D11" s="12">
        <f t="shared" si="2"/>
        <v>4.4400000000000031</v>
      </c>
      <c r="E11" s="12">
        <f t="shared" si="2"/>
        <v>-3.2600000000000002</v>
      </c>
      <c r="F11" s="12">
        <f t="shared" si="2"/>
        <v>-0.44000000000000006</v>
      </c>
      <c r="G11" s="12">
        <f t="shared" si="2"/>
        <v>-3.2</v>
      </c>
      <c r="H11" s="12">
        <f t="shared" si="2"/>
        <v>0</v>
      </c>
      <c r="I11" s="12">
        <f t="shared" si="2"/>
        <v>0</v>
      </c>
      <c r="J11" s="12">
        <f t="shared" si="2"/>
        <v>-2.4599999999999964</v>
      </c>
    </row>
  </sheetData>
  <mergeCells count="1">
    <mergeCell ref="E1:J1"/>
  </mergeCells>
  <phoneticPr fontId="5" type="noConversion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EF71-5AAD-4083-9DFD-FB3C91EA9741}">
  <dimension ref="B1:S33"/>
  <sheetViews>
    <sheetView workbookViewId="0">
      <selection activeCell="B2" sqref="B2:D2"/>
    </sheetView>
  </sheetViews>
  <sheetFormatPr defaultRowHeight="15.75"/>
  <cols>
    <col min="2" max="2" width="35.28515625" style="1" bestFit="1" customWidth="1"/>
    <col min="3" max="3" width="10.28515625" style="48" bestFit="1" customWidth="1"/>
    <col min="4" max="4" width="14.5703125" style="1" bestFit="1" customWidth="1"/>
    <col min="9" max="9" width="31.140625" bestFit="1" customWidth="1"/>
    <col min="10" max="10" width="15.42578125" bestFit="1" customWidth="1"/>
    <col min="14" max="14" width="41.28515625" bestFit="1" customWidth="1"/>
  </cols>
  <sheetData>
    <row r="1" spans="2:19" ht="17.25" thickBot="1">
      <c r="B1" s="47" t="s">
        <v>401</v>
      </c>
      <c r="C1" s="47" t="s">
        <v>399</v>
      </c>
      <c r="D1" s="47" t="s">
        <v>402</v>
      </c>
      <c r="I1" t="s">
        <v>399</v>
      </c>
      <c r="N1" t="s">
        <v>123</v>
      </c>
    </row>
    <row r="2" spans="2:19" ht="42.75">
      <c r="B2" s="53" t="s">
        <v>398</v>
      </c>
      <c r="C2" s="53" t="s">
        <v>400</v>
      </c>
      <c r="D2" s="53">
        <v>47</v>
      </c>
      <c r="I2" t="s">
        <v>411</v>
      </c>
      <c r="N2" s="59" t="s">
        <v>399</v>
      </c>
      <c r="O2" s="57" t="s">
        <v>34</v>
      </c>
      <c r="P2" s="57" t="s">
        <v>450</v>
      </c>
      <c r="Q2" s="57" t="s">
        <v>276</v>
      </c>
      <c r="R2" s="57" t="s">
        <v>403</v>
      </c>
      <c r="S2" s="58"/>
    </row>
    <row r="3" spans="2:19">
      <c r="B3" s="52" t="s">
        <v>403</v>
      </c>
      <c r="C3" s="50" t="s">
        <v>400</v>
      </c>
      <c r="D3" s="50">
        <f>3+2+3+6+1</f>
        <v>15</v>
      </c>
      <c r="I3" t="s">
        <v>404</v>
      </c>
      <c r="N3" s="62" t="s">
        <v>411</v>
      </c>
      <c r="O3" s="57">
        <f>SUM(P3:R3)</f>
        <v>0</v>
      </c>
      <c r="P3" s="59" t="s">
        <v>39</v>
      </c>
      <c r="Q3" s="59" t="s">
        <v>39</v>
      </c>
      <c r="R3" s="59"/>
      <c r="S3" s="60"/>
    </row>
    <row r="4" spans="2:19">
      <c r="B4" s="52" t="s">
        <v>420</v>
      </c>
      <c r="C4" s="50" t="s">
        <v>400</v>
      </c>
      <c r="D4" s="50">
        <v>11</v>
      </c>
      <c r="I4" t="s">
        <v>405</v>
      </c>
      <c r="N4" s="62" t="s">
        <v>404</v>
      </c>
      <c r="O4" s="57">
        <f t="shared" ref="O4:O18" si="0">SUM(P4:R4)</f>
        <v>3</v>
      </c>
      <c r="P4" s="59" t="s">
        <v>39</v>
      </c>
      <c r="Q4" s="59" t="s">
        <v>39</v>
      </c>
      <c r="R4" s="59">
        <v>3</v>
      </c>
      <c r="S4" s="61" t="s">
        <v>451</v>
      </c>
    </row>
    <row r="5" spans="2:19">
      <c r="B5" s="52" t="s">
        <v>421</v>
      </c>
      <c r="C5" s="50" t="s">
        <v>400</v>
      </c>
      <c r="D5" s="50">
        <f>40+97</f>
        <v>137</v>
      </c>
      <c r="I5" t="s">
        <v>406</v>
      </c>
      <c r="N5" s="62" t="s">
        <v>405</v>
      </c>
      <c r="O5" s="57">
        <f t="shared" si="0"/>
        <v>1</v>
      </c>
      <c r="P5" s="59" t="s">
        <v>39</v>
      </c>
      <c r="Q5" s="59" t="s">
        <v>39</v>
      </c>
      <c r="R5" s="59">
        <v>1</v>
      </c>
      <c r="S5" s="61" t="s">
        <v>452</v>
      </c>
    </row>
    <row r="6" spans="2:19">
      <c r="B6" s="54" t="s">
        <v>422</v>
      </c>
      <c r="C6" s="51" t="s">
        <v>400</v>
      </c>
      <c r="D6" s="51">
        <v>20</v>
      </c>
      <c r="I6" t="s">
        <v>412</v>
      </c>
      <c r="N6" s="62" t="s">
        <v>406</v>
      </c>
      <c r="O6" s="57">
        <f t="shared" si="0"/>
        <v>2</v>
      </c>
      <c r="P6" s="59" t="s">
        <v>39</v>
      </c>
      <c r="Q6" s="59" t="s">
        <v>39</v>
      </c>
      <c r="R6" s="59">
        <v>2</v>
      </c>
      <c r="S6" s="61" t="s">
        <v>453</v>
      </c>
    </row>
    <row r="7" spans="2:19">
      <c r="B7" s="54" t="s">
        <v>423</v>
      </c>
      <c r="C7" s="51" t="s">
        <v>424</v>
      </c>
      <c r="D7" s="51">
        <v>1300</v>
      </c>
      <c r="I7" t="s">
        <v>415</v>
      </c>
      <c r="N7" s="62" t="s">
        <v>412</v>
      </c>
      <c r="O7" s="57">
        <f t="shared" si="0"/>
        <v>34</v>
      </c>
      <c r="P7" s="59">
        <v>22</v>
      </c>
      <c r="Q7" s="59">
        <v>12</v>
      </c>
      <c r="R7" s="59"/>
      <c r="S7" s="61" t="s">
        <v>454</v>
      </c>
    </row>
    <row r="8" spans="2:19">
      <c r="B8" s="54" t="s">
        <v>425</v>
      </c>
      <c r="C8" s="51" t="s">
        <v>400</v>
      </c>
      <c r="D8" s="51">
        <f>2+3</f>
        <v>5</v>
      </c>
      <c r="I8" t="s">
        <v>413</v>
      </c>
      <c r="N8" s="62" t="s">
        <v>415</v>
      </c>
      <c r="O8" s="57">
        <f t="shared" si="0"/>
        <v>33</v>
      </c>
      <c r="P8" s="59">
        <v>13</v>
      </c>
      <c r="Q8" s="59">
        <v>20</v>
      </c>
      <c r="R8" s="59"/>
      <c r="S8" s="61" t="s">
        <v>454</v>
      </c>
    </row>
    <row r="9" spans="2:19">
      <c r="B9" s="54" t="s">
        <v>426</v>
      </c>
      <c r="C9" s="51" t="s">
        <v>400</v>
      </c>
      <c r="D9" s="51">
        <v>14</v>
      </c>
      <c r="I9" t="s">
        <v>414</v>
      </c>
      <c r="N9" s="62" t="s">
        <v>413</v>
      </c>
      <c r="O9" s="57">
        <f t="shared" si="0"/>
        <v>13</v>
      </c>
      <c r="P9" s="59">
        <v>3</v>
      </c>
      <c r="Q9" s="59">
        <v>10</v>
      </c>
      <c r="R9" s="59"/>
      <c r="S9" s="61" t="s">
        <v>454</v>
      </c>
    </row>
    <row r="10" spans="2:19">
      <c r="B10" s="54" t="s">
        <v>427</v>
      </c>
      <c r="C10" s="51" t="s">
        <v>400</v>
      </c>
      <c r="D10" s="51">
        <v>3</v>
      </c>
      <c r="I10" t="s">
        <v>410</v>
      </c>
      <c r="N10" s="62" t="s">
        <v>455</v>
      </c>
      <c r="O10" s="57">
        <f t="shared" si="0"/>
        <v>14</v>
      </c>
      <c r="P10" s="59">
        <v>11</v>
      </c>
      <c r="Q10" s="59">
        <v>3</v>
      </c>
      <c r="R10" s="59"/>
      <c r="S10" s="61" t="s">
        <v>454</v>
      </c>
    </row>
    <row r="11" spans="2:19">
      <c r="B11" s="54" t="s">
        <v>428</v>
      </c>
      <c r="C11" s="51" t="s">
        <v>400</v>
      </c>
      <c r="D11" s="51"/>
      <c r="I11" t="s">
        <v>407</v>
      </c>
      <c r="N11" s="62" t="s">
        <v>410</v>
      </c>
      <c r="O11" s="57">
        <f t="shared" si="0"/>
        <v>0</v>
      </c>
      <c r="P11" s="59" t="s">
        <v>39</v>
      </c>
      <c r="Q11" s="59" t="s">
        <v>39</v>
      </c>
      <c r="R11" s="59"/>
      <c r="S11" s="60"/>
    </row>
    <row r="12" spans="2:19">
      <c r="B12" s="54" t="s">
        <v>429</v>
      </c>
      <c r="C12" s="51" t="s">
        <v>424</v>
      </c>
      <c r="D12" s="51">
        <v>100</v>
      </c>
      <c r="I12" t="s">
        <v>408</v>
      </c>
      <c r="N12" s="62" t="s">
        <v>407</v>
      </c>
      <c r="O12" s="57">
        <f t="shared" si="0"/>
        <v>0</v>
      </c>
      <c r="P12" s="59" t="s">
        <v>39</v>
      </c>
      <c r="Q12" s="59" t="s">
        <v>39</v>
      </c>
      <c r="R12" s="59"/>
      <c r="S12" s="60"/>
    </row>
    <row r="13" spans="2:19">
      <c r="B13" s="54"/>
      <c r="C13" s="51"/>
      <c r="D13" s="51"/>
      <c r="I13" s="49" t="s">
        <v>409</v>
      </c>
      <c r="N13" s="62" t="s">
        <v>408</v>
      </c>
      <c r="O13" s="57">
        <f t="shared" si="0"/>
        <v>0</v>
      </c>
      <c r="P13" s="59" t="s">
        <v>39</v>
      </c>
      <c r="Q13" s="59" t="s">
        <v>39</v>
      </c>
      <c r="R13" s="59"/>
      <c r="S13" s="60"/>
    </row>
    <row r="14" spans="2:19">
      <c r="B14" s="54"/>
      <c r="C14" s="51"/>
      <c r="D14" s="51"/>
      <c r="I14" t="s">
        <v>416</v>
      </c>
      <c r="N14" s="62" t="s">
        <v>409</v>
      </c>
      <c r="O14" s="57">
        <f t="shared" si="0"/>
        <v>0</v>
      </c>
      <c r="P14" s="59" t="s">
        <v>39</v>
      </c>
      <c r="Q14" s="59" t="s">
        <v>39</v>
      </c>
      <c r="R14" s="59"/>
      <c r="S14" s="60"/>
    </row>
    <row r="15" spans="2:19">
      <c r="B15" s="54"/>
      <c r="C15" s="51"/>
      <c r="D15" s="51"/>
      <c r="I15" t="s">
        <v>417</v>
      </c>
      <c r="N15" s="62" t="s">
        <v>416</v>
      </c>
      <c r="O15" s="57">
        <f t="shared" si="0"/>
        <v>0</v>
      </c>
      <c r="P15" s="59" t="s">
        <v>39</v>
      </c>
      <c r="Q15" s="59" t="s">
        <v>39</v>
      </c>
      <c r="R15" s="59"/>
      <c r="S15" s="60"/>
    </row>
    <row r="16" spans="2:19">
      <c r="B16" s="54"/>
      <c r="C16" s="51"/>
      <c r="D16" s="51"/>
      <c r="I16" t="s">
        <v>418</v>
      </c>
      <c r="N16" s="62" t="s">
        <v>417</v>
      </c>
      <c r="O16" s="57">
        <f t="shared" si="0"/>
        <v>0</v>
      </c>
      <c r="P16" s="59" t="s">
        <v>39</v>
      </c>
      <c r="Q16" s="59" t="s">
        <v>39</v>
      </c>
      <c r="R16" s="59"/>
      <c r="S16" s="60"/>
    </row>
    <row r="17" spans="2:19">
      <c r="B17" s="54"/>
      <c r="C17" s="51"/>
      <c r="D17" s="51"/>
      <c r="I17" t="s">
        <v>419</v>
      </c>
      <c r="N17" s="62" t="s">
        <v>418</v>
      </c>
      <c r="O17" s="57">
        <f t="shared" si="0"/>
        <v>0</v>
      </c>
      <c r="P17" s="59" t="s">
        <v>39</v>
      </c>
      <c r="Q17" s="59" t="s">
        <v>39</v>
      </c>
      <c r="R17" s="59"/>
      <c r="S17" s="60"/>
    </row>
    <row r="18" spans="2:19">
      <c r="B18" s="54"/>
      <c r="C18" s="51"/>
      <c r="D18" s="51"/>
      <c r="N18" s="62" t="s">
        <v>419</v>
      </c>
      <c r="O18" s="57">
        <f t="shared" si="0"/>
        <v>0</v>
      </c>
      <c r="P18" s="59" t="s">
        <v>39</v>
      </c>
      <c r="Q18" s="59" t="s">
        <v>39</v>
      </c>
      <c r="R18" s="59"/>
      <c r="S18" s="60"/>
    </row>
    <row r="19" spans="2:19">
      <c r="B19" s="54"/>
      <c r="C19" s="51"/>
      <c r="D19" s="51"/>
    </row>
    <row r="20" spans="2:19">
      <c r="B20" s="54"/>
      <c r="C20" s="51"/>
      <c r="D20" s="51"/>
    </row>
    <row r="21" spans="2:19">
      <c r="B21" s="54"/>
      <c r="C21" s="51"/>
      <c r="D21" s="51"/>
    </row>
    <row r="22" spans="2:19">
      <c r="B22" s="54"/>
      <c r="C22" s="51"/>
      <c r="D22" s="51"/>
    </row>
    <row r="23" spans="2:19">
      <c r="B23" s="54"/>
      <c r="C23" s="51"/>
      <c r="D23" s="51"/>
    </row>
    <row r="24" spans="2:19">
      <c r="B24" s="54"/>
      <c r="C24" s="51"/>
      <c r="D24" s="51"/>
    </row>
    <row r="25" spans="2:19">
      <c r="B25" s="54"/>
      <c r="C25" s="51"/>
      <c r="D25" s="51"/>
    </row>
    <row r="26" spans="2:19">
      <c r="B26" s="54"/>
      <c r="C26" s="51"/>
      <c r="D26" s="51"/>
    </row>
    <row r="27" spans="2:19">
      <c r="B27" s="54"/>
      <c r="C27" s="51"/>
      <c r="D27" s="51"/>
    </row>
    <row r="28" spans="2:19">
      <c r="B28" s="54"/>
      <c r="C28" s="51"/>
      <c r="D28" s="51"/>
    </row>
    <row r="29" spans="2:19">
      <c r="B29" s="51"/>
      <c r="C29" s="51"/>
      <c r="D29" s="51"/>
    </row>
    <row r="30" spans="2:19">
      <c r="B30" s="51"/>
      <c r="C30" s="51"/>
      <c r="D30" s="51"/>
    </row>
    <row r="31" spans="2:19">
      <c r="B31" s="51"/>
      <c r="C31" s="51"/>
      <c r="D31" s="51"/>
    </row>
    <row r="32" spans="2:19">
      <c r="B32" s="51"/>
      <c r="C32" s="51"/>
      <c r="D32" s="51"/>
    </row>
    <row r="33" spans="2:4">
      <c r="B33" s="51"/>
      <c r="C33" s="51"/>
      <c r="D33" s="51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84E3-E712-4E93-BB9A-86B6D0CED881}">
  <dimension ref="A1:I19"/>
  <sheetViews>
    <sheetView workbookViewId="0">
      <pane xSplit="8" topLeftCell="I1" activePane="topRight" state="frozenSplit"/>
      <selection activeCell="E9" sqref="E9"/>
      <selection pane="topRight" activeCell="J6" sqref="J6"/>
    </sheetView>
  </sheetViews>
  <sheetFormatPr defaultColWidth="9.140625" defaultRowHeight="13.5" outlineLevelCol="1"/>
  <cols>
    <col min="1" max="1" width="16" style="90" customWidth="1" outlineLevel="1"/>
    <col min="2" max="2" width="23" style="89" customWidth="1"/>
    <col min="3" max="3" width="48.85546875" style="91" customWidth="1"/>
    <col min="4" max="5" width="13" style="90" customWidth="1"/>
    <col min="6" max="6" width="13.5703125" style="93" hidden="1" customWidth="1" outlineLevel="1"/>
    <col min="7" max="7" width="13" style="90" hidden="1" customWidth="1" outlineLevel="1"/>
    <col min="8" max="8" width="13" style="90" customWidth="1" collapsed="1"/>
    <col min="9" max="9" width="18.5703125" style="90" bestFit="1" customWidth="1"/>
    <col min="10" max="16384" width="9.140625" style="90"/>
  </cols>
  <sheetData>
    <row r="1" spans="1:9" s="89" customFormat="1">
      <c r="A1" s="89" t="s">
        <v>502</v>
      </c>
      <c r="B1" s="89" t="s">
        <v>686</v>
      </c>
      <c r="C1" s="24" t="s">
        <v>675</v>
      </c>
      <c r="D1" s="89" t="s">
        <v>2</v>
      </c>
      <c r="E1" s="89" t="s">
        <v>10</v>
      </c>
      <c r="F1" s="92" t="s">
        <v>286</v>
      </c>
      <c r="G1" s="89" t="s">
        <v>11</v>
      </c>
      <c r="H1" s="89" t="s">
        <v>693</v>
      </c>
      <c r="I1" s="89" t="s">
        <v>676</v>
      </c>
    </row>
    <row r="2" spans="1:9">
      <c r="A2" s="89" t="s">
        <v>520</v>
      </c>
      <c r="B2" s="89" t="s">
        <v>116</v>
      </c>
      <c r="C2" s="91" t="s">
        <v>677</v>
      </c>
      <c r="D2" s="89" t="s">
        <v>42</v>
      </c>
      <c r="E2" s="89" t="s">
        <v>670</v>
      </c>
      <c r="F2" s="92">
        <f>Tabela5[[#This Row],[Término]]-Tabela5[[#This Row],[Início]]</f>
        <v>46065</v>
      </c>
      <c r="G2" s="88"/>
      <c r="H2" s="88">
        <v>46065</v>
      </c>
    </row>
    <row r="3" spans="1:9">
      <c r="A3" s="89" t="s">
        <v>520</v>
      </c>
      <c r="B3" s="89" t="s">
        <v>116</v>
      </c>
      <c r="C3" s="91" t="s">
        <v>678</v>
      </c>
      <c r="D3" s="89" t="s">
        <v>42</v>
      </c>
      <c r="E3" s="89" t="s">
        <v>123</v>
      </c>
      <c r="F3" s="92">
        <f>Tabela5[[#This Row],[Término]]-Tabela5[[#This Row],[Início]]</f>
        <v>46066</v>
      </c>
      <c r="G3" s="88"/>
      <c r="H3" s="88">
        <v>46066</v>
      </c>
    </row>
    <row r="4" spans="1:9" ht="40.5">
      <c r="A4" s="89" t="s">
        <v>520</v>
      </c>
      <c r="B4" s="89" t="s">
        <v>116</v>
      </c>
      <c r="C4" s="91" t="s">
        <v>679</v>
      </c>
      <c r="D4" s="89" t="s">
        <v>42</v>
      </c>
      <c r="E4" s="89" t="s">
        <v>681</v>
      </c>
      <c r="F4" s="92">
        <f>Tabela5[[#This Row],[Término]]-Tabela5[[#This Row],[Início]]</f>
        <v>0</v>
      </c>
      <c r="G4" s="88"/>
      <c r="H4" s="88"/>
    </row>
    <row r="5" spans="1:9">
      <c r="A5" s="89" t="s">
        <v>520</v>
      </c>
      <c r="B5" s="89" t="s">
        <v>116</v>
      </c>
      <c r="C5" s="91" t="s">
        <v>680</v>
      </c>
      <c r="D5" s="89" t="s">
        <v>42</v>
      </c>
      <c r="E5" s="89" t="s">
        <v>681</v>
      </c>
      <c r="F5" s="92">
        <f>Tabela5[[#This Row],[Término]]-Tabela5[[#This Row],[Início]]</f>
        <v>0</v>
      </c>
      <c r="G5" s="88"/>
      <c r="H5" s="88"/>
    </row>
    <row r="6" spans="1:9">
      <c r="A6" s="89" t="s">
        <v>548</v>
      </c>
      <c r="B6" s="89" t="s">
        <v>113</v>
      </c>
      <c r="C6" s="91" t="s">
        <v>683</v>
      </c>
      <c r="D6" s="89" t="s">
        <v>42</v>
      </c>
      <c r="E6" s="89" t="s">
        <v>245</v>
      </c>
      <c r="F6" s="92">
        <f>Tabela5[[#This Row],[Término]]-Tabela5[[#This Row],[Início]]</f>
        <v>0</v>
      </c>
      <c r="G6" s="88"/>
      <c r="H6" s="88"/>
    </row>
    <row r="7" spans="1:9">
      <c r="A7" s="89" t="s">
        <v>540</v>
      </c>
      <c r="B7" s="89" t="s">
        <v>114</v>
      </c>
      <c r="C7" s="91" t="s">
        <v>684</v>
      </c>
      <c r="D7" s="89" t="s">
        <v>42</v>
      </c>
      <c r="E7" s="89" t="s">
        <v>245</v>
      </c>
      <c r="F7" s="92">
        <f>Tabela5[[#This Row],[Término]]-Tabela5[[#This Row],[Início]]</f>
        <v>0</v>
      </c>
      <c r="G7" s="88"/>
      <c r="H7" s="88"/>
    </row>
    <row r="8" spans="1:9">
      <c r="A8" s="89" t="s">
        <v>550</v>
      </c>
      <c r="B8" s="89" t="s">
        <v>687</v>
      </c>
      <c r="C8" s="91" t="s">
        <v>685</v>
      </c>
      <c r="D8" s="89" t="s">
        <v>42</v>
      </c>
      <c r="E8" s="89" t="s">
        <v>245</v>
      </c>
      <c r="F8" s="92">
        <f>Tabela5[[#This Row],[Término]]-Tabela5[[#This Row],[Início]]</f>
        <v>0</v>
      </c>
      <c r="G8" s="88"/>
      <c r="H8" s="88"/>
    </row>
    <row r="9" spans="1:9" ht="27">
      <c r="A9" s="89" t="s">
        <v>520</v>
      </c>
      <c r="B9" s="89" t="s">
        <v>472</v>
      </c>
      <c r="C9" s="91" t="s">
        <v>688</v>
      </c>
      <c r="D9" s="89" t="s">
        <v>42</v>
      </c>
      <c r="E9" s="89" t="s">
        <v>245</v>
      </c>
      <c r="F9" s="92">
        <f>Tabela5[[#This Row],[Término]]-Tabela5[[#This Row],[Início]]</f>
        <v>-46063</v>
      </c>
      <c r="G9" s="88">
        <v>46063</v>
      </c>
      <c r="H9" s="88"/>
    </row>
    <row r="10" spans="1:9" ht="27">
      <c r="A10" s="89" t="s">
        <v>525</v>
      </c>
      <c r="B10" s="89" t="s">
        <v>691</v>
      </c>
      <c r="C10" s="91" t="s">
        <v>689</v>
      </c>
      <c r="D10" s="89" t="s">
        <v>42</v>
      </c>
      <c r="E10" s="89" t="s">
        <v>245</v>
      </c>
      <c r="F10" s="92">
        <f>Tabela5[[#This Row],[Término]]-Tabela5[[#This Row],[Início]]</f>
        <v>-46062</v>
      </c>
      <c r="G10" s="88">
        <v>46062</v>
      </c>
      <c r="H10" s="88"/>
    </row>
    <row r="11" spans="1:9" ht="27">
      <c r="A11" s="89" t="s">
        <v>523</v>
      </c>
      <c r="B11" s="89" t="s">
        <v>692</v>
      </c>
      <c r="C11" s="91" t="s">
        <v>690</v>
      </c>
      <c r="D11" s="89" t="s">
        <v>42</v>
      </c>
      <c r="E11" s="89" t="s">
        <v>245</v>
      </c>
      <c r="F11" s="92">
        <f>Tabela5[[#This Row],[Término]]-Tabela5[[#This Row],[Início]]</f>
        <v>-46062</v>
      </c>
      <c r="G11" s="88">
        <v>46062</v>
      </c>
      <c r="H11" s="88"/>
    </row>
    <row r="12" spans="1:9" ht="40.5">
      <c r="A12" s="89" t="s">
        <v>519</v>
      </c>
      <c r="B12" s="89" t="s">
        <v>697</v>
      </c>
      <c r="C12" s="91" t="s">
        <v>694</v>
      </c>
      <c r="D12" s="89" t="s">
        <v>42</v>
      </c>
      <c r="E12" s="89" t="s">
        <v>245</v>
      </c>
      <c r="F12" s="92">
        <f>Tabela5[[#This Row],[Término]]-Tabela5[[#This Row],[Início]]</f>
        <v>-46058</v>
      </c>
      <c r="G12" s="88">
        <v>46058</v>
      </c>
      <c r="H12" s="88"/>
    </row>
    <row r="13" spans="1:9" ht="40.5">
      <c r="A13" s="89" t="s">
        <v>519</v>
      </c>
      <c r="B13" s="89" t="s">
        <v>158</v>
      </c>
      <c r="C13" s="91" t="s">
        <v>695</v>
      </c>
      <c r="D13" s="89" t="s">
        <v>42</v>
      </c>
      <c r="E13" s="89" t="s">
        <v>245</v>
      </c>
      <c r="F13" s="92">
        <f>Tabela5[[#This Row],[Término]]-Tabela5[[#This Row],[Início]]</f>
        <v>-46058</v>
      </c>
      <c r="G13" s="88">
        <v>46058</v>
      </c>
      <c r="H13" s="88"/>
    </row>
    <row r="14" spans="1:9" ht="40.5">
      <c r="A14" s="89" t="s">
        <v>519</v>
      </c>
      <c r="B14" s="89" t="s">
        <v>698</v>
      </c>
      <c r="C14" s="91" t="s">
        <v>696</v>
      </c>
      <c r="D14" s="89" t="s">
        <v>42</v>
      </c>
      <c r="E14" s="89" t="s">
        <v>245</v>
      </c>
      <c r="F14" s="92">
        <f>Tabela5[[#This Row],[Término]]-Tabela5[[#This Row],[Início]]</f>
        <v>-46031</v>
      </c>
      <c r="G14" s="88">
        <v>46031</v>
      </c>
      <c r="H14" s="88"/>
    </row>
    <row r="15" spans="1:9">
      <c r="A15" s="89"/>
    </row>
    <row r="16" spans="1:9">
      <c r="A16" s="89"/>
    </row>
    <row r="17" spans="1:1">
      <c r="A17" s="89"/>
    </row>
    <row r="18" spans="1:1">
      <c r="A18" s="89"/>
    </row>
    <row r="19" spans="1:1">
      <c r="A19" s="89"/>
    </row>
  </sheetData>
  <dataValidations count="1">
    <dataValidation type="list" allowBlank="1" showInputMessage="1" showErrorMessage="1" sqref="D2:D14" xr:uid="{69D0C426-4737-4238-8378-2FDC9EA6594A}">
      <formula1>"Atrasado,Concluído,Em Progresso,Em Risco,Pausado"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CF28C0173B4141A8B3345DF16FEEF8" ma:contentTypeVersion="10" ma:contentTypeDescription="Create a new document." ma:contentTypeScope="" ma:versionID="ee26af32b3f96433d6c0ccd07fccacd2">
  <xsd:schema xmlns:xsd="http://www.w3.org/2001/XMLSchema" xmlns:xs="http://www.w3.org/2001/XMLSchema" xmlns:p="http://schemas.microsoft.com/office/2006/metadata/properties" xmlns:ns3="9e5872a0-8b14-44ed-b42e-c80fcba2e805" targetNamespace="http://schemas.microsoft.com/office/2006/metadata/properties" ma:root="true" ma:fieldsID="fd15b5e4f628ff03f67121c2bfa6f6a9" ns3:_="">
    <xsd:import namespace="9e5872a0-8b14-44ed-b42e-c80fcba2e80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872a0-8b14-44ed-b42e-c80fcba2e80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e5872a0-8b14-44ed-b42e-c80fcba2e80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82BF3C-5772-4FCB-B942-F40B193E9947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9e5872a0-8b14-44ed-b42e-c80fcba2e805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091A9E-47AB-441D-800B-E8434B4BDA9B}">
  <ds:schemaRefs>
    <ds:schemaRef ds:uri="http://schemas.microsoft.com/office/2006/metadata/properties"/>
    <ds:schemaRef ds:uri="http://www.w3.org/2000/xmlns/"/>
    <ds:schemaRef ds:uri="9e5872a0-8b14-44ed-b42e-c80fcba2e805"/>
    <ds:schemaRef ds:uri="http://www.w3.org/2001/XMLSchema-instan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2775C24-E248-4285-9159-2E246D2F7D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Status_Mensal</vt:lpstr>
      <vt:lpstr>Resumo_Projeto</vt:lpstr>
      <vt:lpstr>Tarefas_Projeto</vt:lpstr>
      <vt:lpstr>Marco</vt:lpstr>
      <vt:lpstr>Graficos_Tarefas</vt:lpstr>
      <vt:lpstr>A contratar</vt:lpstr>
      <vt:lpstr>Qtd</vt:lpstr>
      <vt:lpstr>Acompanhamento_Processos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Nicolau Aranha</dc:creator>
  <cp:lastModifiedBy>Felipe Aranha</cp:lastModifiedBy>
  <dcterms:created xsi:type="dcterms:W3CDTF">2025-11-11T16:07:24Z</dcterms:created>
  <dcterms:modified xsi:type="dcterms:W3CDTF">2026-03-07T06:00:39Z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0x0101000CCF28C0173B4141A8B3345DF16FEEF8</vt:lpwstr>
  </property>
</Properties>
</file>